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B9AF000F-8B1F-4E23-8963-654656363EE1}" xr6:coauthVersionLast="47" xr6:coauthVersionMax="47" xr10:uidLastSave="{00000000-0000-0000-0000-000000000000}"/>
  <bookViews>
    <workbookView xWindow="-108" yWindow="-108" windowWidth="23256" windowHeight="12456" firstSheet="9" activeTab="16" xr2:uid="{F4DA674C-E237-4382-B439-723601BF2B77}"/>
  </bookViews>
  <sheets>
    <sheet name="MC" sheetId="1" r:id="rId1"/>
    <sheet name="MC ana" sheetId="2" r:id="rId2"/>
    <sheet name="Grp weight" sheetId="3" r:id="rId3"/>
    <sheet name="Grp weight ana" sheetId="4" r:id="rId4"/>
    <sheet name="IWV" sheetId="5" r:id="rId5"/>
    <sheet name="IWV ana" sheetId="6" r:id="rId6"/>
    <sheet name="Circumference" sheetId="7" r:id="rId7"/>
    <sheet name="Circ ana" sheetId="8" r:id="rId8"/>
    <sheet name="Ventilation" sheetId="9" r:id="rId9"/>
    <sheet name="Vent ana" sheetId="10" r:id="rId10"/>
    <sheet name="PDO" sheetId="11" r:id="rId11"/>
    <sheet name="PDO ana" sheetId="12" r:id="rId12"/>
    <sheet name="CPST" sheetId="13" r:id="rId13"/>
    <sheet name="CPST ana" sheetId="14" r:id="rId14"/>
    <sheet name="firmness" sheetId="15" r:id="rId15"/>
    <sheet name="firmness ana" sheetId="16" r:id="rId16"/>
    <sheet name="Consolidated" sheetId="17" r:id="rId17"/>
  </sheets>
  <externalReferences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7" l="1"/>
  <c r="L21" i="17"/>
  <c r="K21" i="17"/>
  <c r="J21" i="17"/>
  <c r="H21" i="17"/>
  <c r="G21" i="17"/>
  <c r="I21" i="17" s="1"/>
  <c r="F21" i="17"/>
  <c r="E21" i="17"/>
  <c r="M20" i="17"/>
  <c r="L20" i="17"/>
  <c r="K20" i="17"/>
  <c r="J20" i="17"/>
  <c r="I20" i="17"/>
  <c r="H20" i="17"/>
  <c r="G20" i="17"/>
  <c r="F20" i="17"/>
  <c r="E20" i="17"/>
  <c r="M19" i="17"/>
  <c r="L19" i="17"/>
  <c r="K19" i="17"/>
  <c r="J19" i="17"/>
  <c r="H19" i="17"/>
  <c r="I19" i="17" s="1"/>
  <c r="G19" i="17"/>
  <c r="F19" i="17"/>
  <c r="E19" i="17"/>
  <c r="M18" i="17"/>
  <c r="L18" i="17"/>
  <c r="K18" i="17"/>
  <c r="J18" i="17"/>
  <c r="I18" i="17"/>
  <c r="H18" i="17"/>
  <c r="G18" i="17"/>
  <c r="F18" i="17"/>
  <c r="E18" i="17"/>
  <c r="M17" i="17"/>
  <c r="L17" i="17"/>
  <c r="K17" i="17"/>
  <c r="J17" i="17"/>
  <c r="H17" i="17"/>
  <c r="G17" i="17"/>
  <c r="I17" i="17" s="1"/>
  <c r="F17" i="17"/>
  <c r="E17" i="17"/>
  <c r="M16" i="17"/>
  <c r="L16" i="17"/>
  <c r="K16" i="17"/>
  <c r="J16" i="17"/>
  <c r="H16" i="17"/>
  <c r="I16" i="17" s="1"/>
  <c r="G16" i="17"/>
  <c r="F16" i="17"/>
  <c r="E16" i="17"/>
  <c r="M15" i="17"/>
  <c r="L15" i="17"/>
  <c r="K15" i="17"/>
  <c r="J15" i="17"/>
  <c r="H15" i="17"/>
  <c r="I15" i="17" s="1"/>
  <c r="G15" i="17"/>
  <c r="F15" i="17"/>
  <c r="E15" i="17"/>
  <c r="M14" i="17"/>
  <c r="L14" i="17"/>
  <c r="K14" i="17"/>
  <c r="J14" i="17"/>
  <c r="I14" i="17"/>
  <c r="H14" i="17"/>
  <c r="G14" i="17"/>
  <c r="F14" i="17"/>
  <c r="E14" i="17"/>
  <c r="M13" i="17"/>
  <c r="L13" i="17"/>
  <c r="K13" i="17"/>
  <c r="J13" i="17"/>
  <c r="H13" i="17"/>
  <c r="G13" i="17"/>
  <c r="I13" i="17" s="1"/>
  <c r="F13" i="17"/>
  <c r="E13" i="17"/>
  <c r="M12" i="17"/>
  <c r="L12" i="17"/>
  <c r="K12" i="17"/>
  <c r="J12" i="17"/>
  <c r="H12" i="17"/>
  <c r="I12" i="17" s="1"/>
  <c r="G12" i="17"/>
  <c r="F12" i="17"/>
  <c r="E12" i="17"/>
  <c r="M11" i="17"/>
  <c r="L11" i="17"/>
  <c r="K11" i="17"/>
  <c r="J11" i="17"/>
  <c r="H11" i="17"/>
  <c r="I11" i="17" s="1"/>
  <c r="G11" i="17"/>
  <c r="F11" i="17"/>
  <c r="E11" i="17"/>
  <c r="M10" i="17"/>
  <c r="L10" i="17"/>
  <c r="K10" i="17"/>
  <c r="J10" i="17"/>
  <c r="I10" i="17"/>
  <c r="H10" i="17"/>
  <c r="G10" i="17"/>
  <c r="F10" i="17"/>
  <c r="E10" i="17"/>
  <c r="M9" i="17"/>
  <c r="L9" i="17"/>
  <c r="K9" i="17"/>
  <c r="J9" i="17"/>
  <c r="H9" i="17"/>
  <c r="I9" i="17" s="1"/>
  <c r="G9" i="17"/>
  <c r="F9" i="17"/>
  <c r="E9" i="17"/>
  <c r="M8" i="17"/>
  <c r="L8" i="17"/>
  <c r="K8" i="17"/>
  <c r="J8" i="17"/>
  <c r="H8" i="17"/>
  <c r="G8" i="17"/>
  <c r="I8" i="17" s="1"/>
  <c r="F8" i="17"/>
  <c r="E8" i="17"/>
  <c r="M7" i="17"/>
  <c r="L7" i="17"/>
  <c r="K7" i="17"/>
  <c r="J7" i="17"/>
  <c r="H7" i="17"/>
  <c r="I7" i="17" s="1"/>
  <c r="G7" i="17"/>
  <c r="F7" i="17"/>
  <c r="E7" i="17"/>
  <c r="M6" i="17"/>
  <c r="L6" i="17"/>
  <c r="K6" i="17"/>
  <c r="J6" i="17"/>
  <c r="I6" i="17"/>
  <c r="H6" i="17"/>
  <c r="G6" i="17"/>
  <c r="F6" i="17"/>
  <c r="E6" i="17"/>
  <c r="M5" i="17"/>
  <c r="L5" i="17"/>
  <c r="K5" i="17"/>
  <c r="J5" i="17"/>
  <c r="H5" i="17"/>
  <c r="I5" i="17" s="1"/>
  <c r="G5" i="17"/>
  <c r="F5" i="17"/>
  <c r="E5" i="17"/>
  <c r="M4" i="17"/>
  <c r="L4" i="17"/>
  <c r="K4" i="17"/>
  <c r="J4" i="17"/>
  <c r="H4" i="17"/>
  <c r="G4" i="17"/>
  <c r="I4" i="17" s="1"/>
  <c r="F4" i="17"/>
  <c r="E4" i="17"/>
  <c r="M3" i="17"/>
  <c r="L3" i="17"/>
  <c r="K3" i="17"/>
  <c r="J3" i="17"/>
  <c r="H3" i="17"/>
  <c r="I3" i="17" s="1"/>
  <c r="G3" i="17"/>
  <c r="F3" i="17"/>
  <c r="E3" i="17"/>
  <c r="I175" i="1"/>
  <c r="H175" i="1"/>
  <c r="E175" i="1"/>
  <c r="D175" i="1"/>
  <c r="I174" i="1"/>
  <c r="H174" i="1"/>
  <c r="C174" i="1"/>
  <c r="C175" i="1" s="1"/>
  <c r="B174" i="1"/>
  <c r="B175" i="1" s="1"/>
  <c r="I173" i="1"/>
  <c r="H173" i="1"/>
  <c r="H172" i="1"/>
  <c r="E172" i="1"/>
  <c r="D172" i="1"/>
  <c r="I172" i="1" s="1"/>
  <c r="I171" i="1"/>
  <c r="H171" i="1"/>
  <c r="H170" i="1"/>
  <c r="E170" i="1"/>
  <c r="I169" i="1"/>
  <c r="H169" i="1"/>
  <c r="E169" i="1"/>
  <c r="D169" i="1"/>
  <c r="D170" i="1" s="1"/>
  <c r="I170" i="1" s="1"/>
  <c r="I168" i="1"/>
  <c r="H168" i="1"/>
  <c r="H167" i="1"/>
  <c r="H166" i="1"/>
  <c r="H165" i="1"/>
  <c r="H164" i="1"/>
  <c r="E164" i="1"/>
  <c r="E165" i="1" s="1"/>
  <c r="E166" i="1" s="1"/>
  <c r="E167" i="1" s="1"/>
  <c r="H163" i="1"/>
  <c r="E163" i="1"/>
  <c r="D163" i="1"/>
  <c r="I162" i="1"/>
  <c r="H162" i="1"/>
  <c r="H161" i="1"/>
  <c r="H160" i="1"/>
  <c r="H159" i="1"/>
  <c r="H158" i="1"/>
  <c r="E158" i="1"/>
  <c r="E159" i="1" s="1"/>
  <c r="E160" i="1" s="1"/>
  <c r="E161" i="1" s="1"/>
  <c r="H157" i="1"/>
  <c r="E157" i="1"/>
  <c r="D157" i="1"/>
  <c r="D158" i="1" s="1"/>
  <c r="D159" i="1" s="1"/>
  <c r="I156" i="1"/>
  <c r="H156" i="1"/>
  <c r="H155" i="1"/>
  <c r="D155" i="1"/>
  <c r="I155" i="1" s="1"/>
  <c r="I154" i="1"/>
  <c r="H154" i="1"/>
  <c r="E154" i="1"/>
  <c r="E155" i="1" s="1"/>
  <c r="D154" i="1"/>
  <c r="I153" i="1"/>
  <c r="H153" i="1"/>
  <c r="H152" i="1"/>
  <c r="H151" i="1"/>
  <c r="E151" i="1"/>
  <c r="E152" i="1" s="1"/>
  <c r="D151" i="1"/>
  <c r="I150" i="1"/>
  <c r="H150" i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H149" i="1"/>
  <c r="E149" i="1"/>
  <c r="D149" i="1"/>
  <c r="I149" i="1" s="1"/>
  <c r="C149" i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B149" i="1"/>
  <c r="I148" i="1"/>
  <c r="H148" i="1"/>
  <c r="I147" i="1"/>
  <c r="H147" i="1"/>
  <c r="I146" i="1"/>
  <c r="H146" i="1"/>
  <c r="I145" i="1"/>
  <c r="H145" i="1"/>
  <c r="B145" i="1"/>
  <c r="B146" i="1" s="1"/>
  <c r="B147" i="1" s="1"/>
  <c r="I144" i="1"/>
  <c r="H144" i="1"/>
  <c r="I143" i="1"/>
  <c r="H143" i="1"/>
  <c r="I142" i="1"/>
  <c r="H142" i="1"/>
  <c r="I141" i="1"/>
  <c r="H141" i="1"/>
  <c r="I140" i="1"/>
  <c r="H140" i="1"/>
  <c r="B140" i="1"/>
  <c r="B141" i="1" s="1"/>
  <c r="B142" i="1" s="1"/>
  <c r="B143" i="1" s="1"/>
  <c r="I139" i="1"/>
  <c r="H139" i="1"/>
  <c r="B139" i="1"/>
  <c r="I138" i="1"/>
  <c r="H138" i="1"/>
  <c r="I137" i="1"/>
  <c r="H137" i="1"/>
  <c r="I136" i="1"/>
  <c r="H136" i="1"/>
  <c r="B136" i="1"/>
  <c r="B137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I135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E124" i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D124" i="1"/>
  <c r="I123" i="1"/>
  <c r="H123" i="1"/>
  <c r="H122" i="1"/>
  <c r="H121" i="1"/>
  <c r="H120" i="1"/>
  <c r="E120" i="1"/>
  <c r="E121" i="1" s="1"/>
  <c r="E122" i="1" s="1"/>
  <c r="D120" i="1"/>
  <c r="D121" i="1" s="1"/>
  <c r="D122" i="1" s="1"/>
  <c r="I122" i="1" s="1"/>
  <c r="I119" i="1"/>
  <c r="H119" i="1"/>
  <c r="H118" i="1"/>
  <c r="I117" i="1"/>
  <c r="H117" i="1"/>
  <c r="E117" i="1"/>
  <c r="E118" i="1" s="1"/>
  <c r="D117" i="1"/>
  <c r="D118" i="1" s="1"/>
  <c r="I118" i="1" s="1"/>
  <c r="I116" i="1"/>
  <c r="H116" i="1"/>
  <c r="H115" i="1"/>
  <c r="H114" i="1"/>
  <c r="H113" i="1"/>
  <c r="H112" i="1"/>
  <c r="I111" i="1"/>
  <c r="H111" i="1"/>
  <c r="E111" i="1"/>
  <c r="E112" i="1" s="1"/>
  <c r="E113" i="1" s="1"/>
  <c r="E114" i="1" s="1"/>
  <c r="E115" i="1" s="1"/>
  <c r="D111" i="1"/>
  <c r="D112" i="1" s="1"/>
  <c r="I110" i="1"/>
  <c r="H110" i="1"/>
  <c r="H109" i="1"/>
  <c r="H108" i="1"/>
  <c r="E108" i="1"/>
  <c r="E109" i="1" s="1"/>
  <c r="D108" i="1"/>
  <c r="I108" i="1" s="1"/>
  <c r="I107" i="1"/>
  <c r="H107" i="1"/>
  <c r="H106" i="1"/>
  <c r="H105" i="1"/>
  <c r="E105" i="1"/>
  <c r="E106" i="1" s="1"/>
  <c r="D105" i="1"/>
  <c r="D106" i="1" s="1"/>
  <c r="I106" i="1" s="1"/>
  <c r="I104" i="1"/>
  <c r="H104" i="1"/>
  <c r="H103" i="1"/>
  <c r="H102" i="1"/>
  <c r="E102" i="1"/>
  <c r="E103" i="1" s="1"/>
  <c r="D102" i="1"/>
  <c r="I102" i="1" s="1"/>
  <c r="I101" i="1"/>
  <c r="H101" i="1"/>
  <c r="I100" i="1"/>
  <c r="H100" i="1"/>
  <c r="I99" i="1"/>
  <c r="H99" i="1"/>
  <c r="H98" i="1"/>
  <c r="E98" i="1"/>
  <c r="D98" i="1"/>
  <c r="I98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I97" i="1"/>
  <c r="H97" i="1"/>
  <c r="H96" i="1"/>
  <c r="H95" i="1"/>
  <c r="H94" i="1"/>
  <c r="H93" i="1"/>
  <c r="D93" i="1"/>
  <c r="D94" i="1" s="1"/>
  <c r="H92" i="1"/>
  <c r="E92" i="1"/>
  <c r="E93" i="1" s="1"/>
  <c r="E94" i="1" s="1"/>
  <c r="E95" i="1" s="1"/>
  <c r="E96" i="1" s="1"/>
  <c r="D92" i="1"/>
  <c r="I92" i="1" s="1"/>
  <c r="I91" i="1"/>
  <c r="H91" i="1"/>
  <c r="H90" i="1"/>
  <c r="H89" i="1"/>
  <c r="E89" i="1"/>
  <c r="E90" i="1" s="1"/>
  <c r="H88" i="1"/>
  <c r="E88" i="1"/>
  <c r="D88" i="1"/>
  <c r="I87" i="1"/>
  <c r="H87" i="1"/>
  <c r="H86" i="1"/>
  <c r="E86" i="1"/>
  <c r="D86" i="1"/>
  <c r="I86" i="1" s="1"/>
  <c r="I85" i="1"/>
  <c r="H85" i="1"/>
  <c r="E85" i="1"/>
  <c r="D85" i="1"/>
  <c r="I84" i="1"/>
  <c r="H84" i="1"/>
  <c r="H83" i="1"/>
  <c r="H82" i="1"/>
  <c r="H81" i="1"/>
  <c r="H80" i="1"/>
  <c r="D80" i="1"/>
  <c r="H79" i="1"/>
  <c r="E79" i="1"/>
  <c r="E80" i="1" s="1"/>
  <c r="E81" i="1" s="1"/>
  <c r="E82" i="1" s="1"/>
  <c r="E83" i="1" s="1"/>
  <c r="D79" i="1"/>
  <c r="I79" i="1" s="1"/>
  <c r="I78" i="1"/>
  <c r="H78" i="1"/>
  <c r="H77" i="1"/>
  <c r="D77" i="1"/>
  <c r="I77" i="1" s="1"/>
  <c r="I76" i="1"/>
  <c r="H76" i="1"/>
  <c r="E76" i="1"/>
  <c r="E77" i="1" s="1"/>
  <c r="D76" i="1"/>
  <c r="I75" i="1"/>
  <c r="H75" i="1"/>
  <c r="H74" i="1"/>
  <c r="H73" i="1"/>
  <c r="H72" i="1"/>
  <c r="H71" i="1"/>
  <c r="E71" i="1"/>
  <c r="E72" i="1" s="1"/>
  <c r="E73" i="1" s="1"/>
  <c r="E74" i="1" s="1"/>
  <c r="D71" i="1"/>
  <c r="D72" i="1" s="1"/>
  <c r="H70" i="1"/>
  <c r="E70" i="1"/>
  <c r="D70" i="1"/>
  <c r="I70" i="1" s="1"/>
  <c r="I69" i="1"/>
  <c r="H69" i="1"/>
  <c r="H68" i="1"/>
  <c r="E68" i="1"/>
  <c r="D68" i="1"/>
  <c r="I68" i="1" s="1"/>
  <c r="I67" i="1"/>
  <c r="H67" i="1"/>
  <c r="H66" i="1"/>
  <c r="H65" i="1"/>
  <c r="E65" i="1"/>
  <c r="E66" i="1" s="1"/>
  <c r="D65" i="1"/>
  <c r="D66" i="1" s="1"/>
  <c r="I66" i="1" s="1"/>
  <c r="I64" i="1"/>
  <c r="H64" i="1"/>
  <c r="H63" i="1"/>
  <c r="H62" i="1"/>
  <c r="E62" i="1"/>
  <c r="E63" i="1" s="1"/>
  <c r="D62" i="1"/>
  <c r="C62" i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B62" i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I61" i="1"/>
  <c r="H61" i="1"/>
  <c r="I60" i="1"/>
  <c r="H60" i="1"/>
  <c r="H59" i="1"/>
  <c r="E59" i="1"/>
  <c r="D59" i="1"/>
  <c r="I59" i="1" s="1"/>
  <c r="I58" i="1"/>
  <c r="H58" i="1"/>
  <c r="H57" i="1"/>
  <c r="E57" i="1"/>
  <c r="D57" i="1"/>
  <c r="I57" i="1" s="1"/>
  <c r="I56" i="1"/>
  <c r="H56" i="1"/>
  <c r="H55" i="1"/>
  <c r="H54" i="1"/>
  <c r="H53" i="1"/>
  <c r="E53" i="1"/>
  <c r="E54" i="1" s="1"/>
  <c r="E55" i="1" s="1"/>
  <c r="D53" i="1"/>
  <c r="D54" i="1" s="1"/>
  <c r="I54" i="1" s="1"/>
  <c r="I52" i="1"/>
  <c r="H52" i="1"/>
  <c r="I51" i="1"/>
  <c r="H51" i="1"/>
  <c r="E51" i="1"/>
  <c r="D51" i="1"/>
  <c r="I50" i="1"/>
  <c r="H50" i="1"/>
  <c r="H49" i="1"/>
  <c r="H48" i="1"/>
  <c r="E48" i="1"/>
  <c r="E49" i="1" s="1"/>
  <c r="D48" i="1"/>
  <c r="I47" i="1"/>
  <c r="H47" i="1"/>
  <c r="H46" i="1"/>
  <c r="E46" i="1"/>
  <c r="D46" i="1"/>
  <c r="I46" i="1" s="1"/>
  <c r="I45" i="1"/>
  <c r="H45" i="1"/>
  <c r="E45" i="1"/>
  <c r="D45" i="1"/>
  <c r="I44" i="1"/>
  <c r="H44" i="1"/>
  <c r="H43" i="1"/>
  <c r="H42" i="1"/>
  <c r="E42" i="1"/>
  <c r="E43" i="1" s="1"/>
  <c r="D42" i="1"/>
  <c r="D43" i="1" s="1"/>
  <c r="I43" i="1" s="1"/>
  <c r="I41" i="1"/>
  <c r="H41" i="1"/>
  <c r="H40" i="1"/>
  <c r="H39" i="1"/>
  <c r="H38" i="1"/>
  <c r="D38" i="1"/>
  <c r="D39" i="1" s="1"/>
  <c r="I39" i="1" s="1"/>
  <c r="H37" i="1"/>
  <c r="E37" i="1"/>
  <c r="E38" i="1" s="1"/>
  <c r="E39" i="1" s="1"/>
  <c r="E40" i="1" s="1"/>
  <c r="D37" i="1"/>
  <c r="I37" i="1" s="1"/>
  <c r="I36" i="1"/>
  <c r="H36" i="1"/>
  <c r="H35" i="1"/>
  <c r="H34" i="1"/>
  <c r="H33" i="1"/>
  <c r="D33" i="1"/>
  <c r="D34" i="1" s="1"/>
  <c r="D35" i="1" s="1"/>
  <c r="I35" i="1" s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H32" i="1"/>
  <c r="B32" i="1"/>
  <c r="H31" i="1"/>
  <c r="E31" i="1"/>
  <c r="E32" i="1" s="1"/>
  <c r="E33" i="1" s="1"/>
  <c r="E34" i="1" s="1"/>
  <c r="E35" i="1" s="1"/>
  <c r="D31" i="1"/>
  <c r="D32" i="1" s="1"/>
  <c r="I32" i="1" s="1"/>
  <c r="C31" i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B31" i="1"/>
  <c r="I30" i="1"/>
  <c r="H30" i="1"/>
  <c r="I29" i="1"/>
  <c r="H29" i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I28" i="1"/>
  <c r="H28" i="1"/>
  <c r="I27" i="1"/>
  <c r="H27" i="1"/>
  <c r="I26" i="1"/>
  <c r="H26" i="1"/>
  <c r="B26" i="1"/>
  <c r="B27" i="1" s="1"/>
  <c r="B28" i="1" s="1"/>
  <c r="B29" i="1" s="1"/>
  <c r="A26" i="1"/>
  <c r="A27" i="1" s="1"/>
  <c r="A28" i="1" s="1"/>
  <c r="I25" i="1"/>
  <c r="H25" i="1"/>
  <c r="H24" i="1"/>
  <c r="H23" i="1"/>
  <c r="E23" i="1"/>
  <c r="E24" i="1" s="1"/>
  <c r="I22" i="1"/>
  <c r="H22" i="1"/>
  <c r="E22" i="1"/>
  <c r="D22" i="1"/>
  <c r="D23" i="1" s="1"/>
  <c r="D24" i="1" s="1"/>
  <c r="I24" i="1" s="1"/>
  <c r="I21" i="1"/>
  <c r="H21" i="1"/>
  <c r="H20" i="1"/>
  <c r="H19" i="1"/>
  <c r="H18" i="1"/>
  <c r="C18" i="1"/>
  <c r="C19" i="1" s="1"/>
  <c r="C20" i="1" s="1"/>
  <c r="C21" i="1" s="1"/>
  <c r="C22" i="1" s="1"/>
  <c r="C23" i="1" s="1"/>
  <c r="C24" i="1" s="1"/>
  <c r="B18" i="1"/>
  <c r="B19" i="1" s="1"/>
  <c r="B20" i="1" s="1"/>
  <c r="B21" i="1" s="1"/>
  <c r="B22" i="1" s="1"/>
  <c r="B23" i="1" s="1"/>
  <c r="B24" i="1" s="1"/>
  <c r="H17" i="1"/>
  <c r="H16" i="1"/>
  <c r="I15" i="1"/>
  <c r="H15" i="1"/>
  <c r="I14" i="1"/>
  <c r="H14" i="1"/>
  <c r="E14" i="1"/>
  <c r="E15" i="1" s="1"/>
  <c r="E16" i="1" s="1"/>
  <c r="E17" i="1" s="1"/>
  <c r="E18" i="1" s="1"/>
  <c r="E19" i="1" s="1"/>
  <c r="E20" i="1" s="1"/>
  <c r="D14" i="1"/>
  <c r="D15" i="1" s="1"/>
  <c r="D16" i="1" s="1"/>
  <c r="I13" i="1"/>
  <c r="H13" i="1"/>
  <c r="H12" i="1"/>
  <c r="H11" i="1"/>
  <c r="B11" i="1"/>
  <c r="B12" i="1" s="1"/>
  <c r="B13" i="1" s="1"/>
  <c r="B14" i="1" s="1"/>
  <c r="B15" i="1" s="1"/>
  <c r="B16" i="1" s="1"/>
  <c r="H10" i="1"/>
  <c r="C10" i="1"/>
  <c r="C11" i="1" s="1"/>
  <c r="C12" i="1" s="1"/>
  <c r="C13" i="1" s="1"/>
  <c r="C14" i="1" s="1"/>
  <c r="C15" i="1" s="1"/>
  <c r="C16" i="1" s="1"/>
  <c r="B10" i="1"/>
  <c r="H9" i="1"/>
  <c r="H8" i="1"/>
  <c r="H7" i="1"/>
  <c r="H6" i="1"/>
  <c r="E6" i="1"/>
  <c r="E7" i="1" s="1"/>
  <c r="E8" i="1" s="1"/>
  <c r="E9" i="1" s="1"/>
  <c r="E10" i="1" s="1"/>
  <c r="E11" i="1" s="1"/>
  <c r="E12" i="1" s="1"/>
  <c r="D6" i="1"/>
  <c r="D7" i="1" s="1"/>
  <c r="I7" i="1" s="1"/>
  <c r="I5" i="1"/>
  <c r="H5" i="1"/>
  <c r="H4" i="1"/>
  <c r="H3" i="1"/>
  <c r="E3" i="1"/>
  <c r="E4" i="1" s="1"/>
  <c r="D3" i="1"/>
  <c r="C3" i="1"/>
  <c r="C4" i="1" s="1"/>
  <c r="C5" i="1" s="1"/>
  <c r="C6" i="1" s="1"/>
  <c r="C7" i="1" s="1"/>
  <c r="C8" i="1" s="1"/>
  <c r="B3" i="1"/>
  <c r="B4" i="1" s="1"/>
  <c r="B5" i="1" s="1"/>
  <c r="B6" i="1" s="1"/>
  <c r="B7" i="1" s="1"/>
  <c r="B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H2" i="1"/>
  <c r="E2" i="1"/>
  <c r="D2" i="1"/>
  <c r="I2" i="1" s="1"/>
  <c r="D113" i="1" l="1"/>
  <c r="I112" i="1"/>
  <c r="I6" i="1"/>
  <c r="I42" i="1"/>
  <c r="I65" i="1"/>
  <c r="I157" i="1"/>
  <c r="I38" i="1"/>
  <c r="I158" i="1"/>
  <c r="I71" i="1"/>
  <c r="D109" i="1"/>
  <c r="I109" i="1" s="1"/>
  <c r="D40" i="1"/>
  <c r="I40" i="1" s="1"/>
  <c r="I53" i="1"/>
  <c r="D17" i="1"/>
  <c r="I16" i="1"/>
  <c r="I93" i="1"/>
  <c r="I120" i="1"/>
  <c r="D152" i="1"/>
  <c r="I152" i="1" s="1"/>
  <c r="I151" i="1"/>
  <c r="I163" i="1"/>
  <c r="D164" i="1"/>
  <c r="D160" i="1"/>
  <c r="I159" i="1"/>
  <c r="D89" i="1"/>
  <c r="I88" i="1"/>
  <c r="D8" i="1"/>
  <c r="I23" i="1"/>
  <c r="I33" i="1"/>
  <c r="I31" i="1"/>
  <c r="I34" i="1"/>
  <c r="D103" i="1"/>
  <c r="I103" i="1" s="1"/>
  <c r="I105" i="1"/>
  <c r="D125" i="1"/>
  <c r="I124" i="1"/>
  <c r="D4" i="1"/>
  <c r="I4" i="1" s="1"/>
  <c r="I3" i="1"/>
  <c r="D49" i="1"/>
  <c r="I49" i="1" s="1"/>
  <c r="I48" i="1"/>
  <c r="D81" i="1"/>
  <c r="I80" i="1"/>
  <c r="I121" i="1"/>
  <c r="D55" i="1"/>
  <c r="I55" i="1" s="1"/>
  <c r="D63" i="1"/>
  <c r="I63" i="1" s="1"/>
  <c r="I62" i="1"/>
  <c r="I72" i="1"/>
  <c r="D73" i="1"/>
  <c r="I94" i="1"/>
  <c r="D95" i="1"/>
  <c r="I113" i="1" l="1"/>
  <c r="D114" i="1"/>
  <c r="D96" i="1"/>
  <c r="I96" i="1" s="1"/>
  <c r="I95" i="1"/>
  <c r="I81" i="1"/>
  <c r="D82" i="1"/>
  <c r="I160" i="1"/>
  <c r="D161" i="1"/>
  <c r="I161" i="1" s="1"/>
  <c r="D165" i="1"/>
  <c r="I164" i="1"/>
  <c r="D9" i="1"/>
  <c r="I8" i="1"/>
  <c r="D74" i="1"/>
  <c r="I74" i="1" s="1"/>
  <c r="I73" i="1"/>
  <c r="I125" i="1"/>
  <c r="D126" i="1"/>
  <c r="I89" i="1"/>
  <c r="D90" i="1"/>
  <c r="I90" i="1" s="1"/>
  <c r="I17" i="1"/>
  <c r="D18" i="1"/>
  <c r="D115" i="1" l="1"/>
  <c r="I115" i="1" s="1"/>
  <c r="I114" i="1"/>
  <c r="I165" i="1"/>
  <c r="D166" i="1"/>
  <c r="I18" i="1"/>
  <c r="D19" i="1"/>
  <c r="I9" i="1"/>
  <c r="D10" i="1"/>
  <c r="D83" i="1"/>
  <c r="I83" i="1" s="1"/>
  <c r="I82" i="1"/>
  <c r="I126" i="1"/>
  <c r="D127" i="1"/>
  <c r="D128" i="1" l="1"/>
  <c r="I127" i="1"/>
  <c r="D11" i="1"/>
  <c r="I10" i="1"/>
  <c r="D20" i="1"/>
  <c r="I20" i="1" s="1"/>
  <c r="I19" i="1"/>
  <c r="D167" i="1"/>
  <c r="I167" i="1" s="1"/>
  <c r="I166" i="1"/>
  <c r="I11" i="1" l="1"/>
  <c r="D12" i="1"/>
  <c r="I12" i="1" s="1"/>
  <c r="I128" i="1"/>
  <c r="D129" i="1"/>
  <c r="D130" i="1" l="1"/>
  <c r="I129" i="1"/>
  <c r="D131" i="1" l="1"/>
  <c r="I130" i="1"/>
  <c r="I131" i="1" l="1"/>
  <c r="D132" i="1"/>
  <c r="D133" i="1" l="1"/>
  <c r="I132" i="1"/>
  <c r="I133" i="1" l="1"/>
  <c r="D134" i="1"/>
  <c r="I134" i="1" s="1"/>
</calcChain>
</file>

<file path=xl/sharedStrings.xml><?xml version="1.0" encoding="utf-8"?>
<sst xmlns="http://schemas.openxmlformats.org/spreadsheetml/2006/main" count="4457" uniqueCount="155">
  <si>
    <t>B2</t>
  </si>
  <si>
    <t>J6</t>
  </si>
  <si>
    <t>H1</t>
  </si>
  <si>
    <t>H6</t>
  </si>
  <si>
    <t>H3</t>
  </si>
  <si>
    <t>D</t>
  </si>
  <si>
    <t>NIGHT</t>
  </si>
  <si>
    <t>YD</t>
  </si>
  <si>
    <t>L</t>
  </si>
  <si>
    <t>EARLY</t>
  </si>
  <si>
    <t>LATE</t>
  </si>
  <si>
    <t>C</t>
  </si>
  <si>
    <t>P4</t>
  </si>
  <si>
    <t>J9</t>
  </si>
  <si>
    <t>YE</t>
  </si>
  <si>
    <t>U2</t>
  </si>
  <si>
    <t>T9</t>
  </si>
  <si>
    <t>Date</t>
  </si>
  <si>
    <t>Shift</t>
  </si>
  <si>
    <t>Crew</t>
  </si>
  <si>
    <t>Blend code</t>
  </si>
  <si>
    <t>Op No</t>
  </si>
  <si>
    <t>Machine</t>
  </si>
  <si>
    <t>Moisture</t>
  </si>
  <si>
    <t>Loc</t>
  </si>
  <si>
    <t>Blend</t>
  </si>
  <si>
    <t>Average of Moisture</t>
  </si>
  <si>
    <t>MC</t>
  </si>
  <si>
    <t>Ex-Maker</t>
  </si>
  <si>
    <t>Ex-Packer</t>
  </si>
  <si>
    <t>AKC</t>
  </si>
  <si>
    <t>ASM</t>
  </si>
  <si>
    <t>CBA</t>
  </si>
  <si>
    <t>CBD</t>
  </si>
  <si>
    <t>CJQ</t>
  </si>
  <si>
    <t>CRK</t>
  </si>
  <si>
    <t>CRT</t>
  </si>
  <si>
    <t>MTG</t>
  </si>
  <si>
    <t>MTM</t>
  </si>
  <si>
    <t>TF</t>
  </si>
  <si>
    <t>TFPM</t>
  </si>
  <si>
    <t>WFF</t>
  </si>
  <si>
    <t>WFP</t>
  </si>
  <si>
    <t>YTA</t>
  </si>
  <si>
    <t>YTMZ</t>
  </si>
  <si>
    <t>YTS</t>
  </si>
  <si>
    <t>YTZ</t>
  </si>
  <si>
    <t>CRW</t>
  </si>
  <si>
    <t>CRZ</t>
  </si>
  <si>
    <t>Grand Total</t>
  </si>
  <si>
    <t>CLCNTFTK27-CIG</t>
  </si>
  <si>
    <t>YTZ     </t>
  </si>
  <si>
    <t>CLBDFFCFTK27CIG</t>
  </si>
  <si>
    <t>YTMN    </t>
  </si>
  <si>
    <t>CLIBCFTK27-CIG</t>
  </si>
  <si>
    <t>YTMZ    </t>
  </si>
  <si>
    <t>GFPMDFFT2-CIG  </t>
  </si>
  <si>
    <t>TFPM    </t>
  </si>
  <si>
    <t>FLSPLFT15-CIG  </t>
  </si>
  <si>
    <t>WFF     </t>
  </si>
  <si>
    <t>NCDLXFFT15-CIG</t>
  </si>
  <si>
    <t>WM      </t>
  </si>
  <si>
    <t>GFRFFMC27-CIG  </t>
  </si>
  <si>
    <t>CRK     </t>
  </si>
  <si>
    <t>GFINMFT20-CIG  </t>
  </si>
  <si>
    <t>TF      </t>
  </si>
  <si>
    <t>E</t>
  </si>
  <si>
    <t>GFBFFMB27-CIG  </t>
  </si>
  <si>
    <t>CJQ     </t>
  </si>
  <si>
    <t>GFSC2PFTK27-CIG</t>
  </si>
  <si>
    <t>N</t>
  </si>
  <si>
    <t>NCDLXNPCT15-CIG</t>
  </si>
  <si>
    <t>ACMNZFTK27-CIG</t>
  </si>
  <si>
    <t>GFRFFNPFTK27CIG</t>
  </si>
  <si>
    <t>BHBOFTL20-CIG  </t>
  </si>
  <si>
    <t>YRT     </t>
  </si>
  <si>
    <t>CLRTFFCFTK27CIG</t>
  </si>
  <si>
    <t>YT      </t>
  </si>
  <si>
    <t>GFLMDPFFT2-CIG</t>
  </si>
  <si>
    <t>CLBLFTK27-CIG  </t>
  </si>
  <si>
    <t>YTS     </t>
  </si>
  <si>
    <t>Log date</t>
  </si>
  <si>
    <t>Machine no</t>
  </si>
  <si>
    <t>Cig code</t>
  </si>
  <si>
    <t>Target weight</t>
  </si>
  <si>
    <t>Actual weight</t>
  </si>
  <si>
    <t>Values</t>
  </si>
  <si>
    <t>Mc No</t>
  </si>
  <si>
    <t>Average of TGT WT</t>
  </si>
  <si>
    <t>Average of Act Grp wt</t>
  </si>
  <si>
    <t>CLCLVBFTK20-CIG</t>
  </si>
  <si>
    <t>ASM     </t>
  </si>
  <si>
    <t>CACLNBFT20-CIG</t>
  </si>
  <si>
    <t>PKC     </t>
  </si>
  <si>
    <t>Production date</t>
  </si>
  <si>
    <t>Op. No</t>
  </si>
  <si>
    <t>IWV</t>
  </si>
  <si>
    <t>MAX</t>
  </si>
  <si>
    <t>SD</t>
  </si>
  <si>
    <t>Average of SD</t>
  </si>
  <si>
    <t>Total</t>
  </si>
  <si>
    <t>BRCLVFT20-CIG  </t>
  </si>
  <si>
    <t>PLKLFT20-CIG   </t>
  </si>
  <si>
    <t>Op no</t>
  </si>
  <si>
    <t>Circ Target</t>
  </si>
  <si>
    <t>Actual</t>
  </si>
  <si>
    <t>SD target</t>
  </si>
  <si>
    <t>M/c No</t>
  </si>
  <si>
    <t>Cig Name</t>
  </si>
  <si>
    <t>Average of Act Circ</t>
  </si>
  <si>
    <t>Ventilation Target</t>
  </si>
  <si>
    <t>Average of Target</t>
  </si>
  <si>
    <t>Average of Ventilation</t>
  </si>
  <si>
    <t>PDO target</t>
  </si>
  <si>
    <t>Average of Act PDO</t>
  </si>
  <si>
    <t>GF INDIE MINT 10BE-MD1 - 12M-V1</t>
  </si>
  <si>
    <t>GOLDFLAKE FK SOCIAL 2-POD 20RC  </t>
  </si>
  <si>
    <t>GFK Red FTK Nbundle -10RC       </t>
  </si>
  <si>
    <t>GOLD FL FT-10BE MD+NPCT-FFT2    </t>
  </si>
  <si>
    <t>CLASSIC BLUE LEAF FTK 20BE      </t>
  </si>
  <si>
    <t>Classic Connect FTK 20RC-10M    </t>
  </si>
  <si>
    <t>GFLAKE PRM FT 10BE NPCT-FFT2    </t>
  </si>
  <si>
    <t>FLAKE SPECIAL DSFT NS 10BE-MD   </t>
  </si>
  <si>
    <t>NC Dlx FT 10BE(MD+npct)-FFT     </t>
  </si>
  <si>
    <t>CLASSIC BT FIRMFT NB -CC 10BE   </t>
  </si>
  <si>
    <t>Classic BT-20FS-MD1             </t>
  </si>
  <si>
    <t>CLASSIC ICE BURST 10M -CC 10BE  </t>
  </si>
  <si>
    <t>CL RICH T FS -CC-BDG 20BE       </t>
  </si>
  <si>
    <t>CLASSIC CONNECT FTK 20RC        </t>
  </si>
  <si>
    <t>NC DELUXE FT 10BE- (MD+NPCT)    </t>
  </si>
  <si>
    <t>GFK Red nbundle+NPCT1 10RC      </t>
  </si>
  <si>
    <t>CL BT NB FS -CC-BDG 20BE        </t>
  </si>
  <si>
    <t>Prod date</t>
  </si>
  <si>
    <t>Brand code</t>
  </si>
  <si>
    <t>Mc no</t>
  </si>
  <si>
    <t>Brand name</t>
  </si>
  <si>
    <t>CPST</t>
  </si>
  <si>
    <t>Average of CPST</t>
  </si>
  <si>
    <t>Count of CPST</t>
  </si>
  <si>
    <t>Firmness as</t>
  </si>
  <si>
    <t>Corrected firmness</t>
  </si>
  <si>
    <t>cig name</t>
  </si>
  <si>
    <t>Average of firmnes as</t>
  </si>
  <si>
    <t>Average of firmness</t>
  </si>
  <si>
    <t>Grp wt TGT</t>
  </si>
  <si>
    <t>Grp wt</t>
  </si>
  <si>
    <t>IWV SD</t>
  </si>
  <si>
    <t>Circ SD</t>
  </si>
  <si>
    <t>PDO TGT</t>
  </si>
  <si>
    <t>Act PDO</t>
  </si>
  <si>
    <t>Diff</t>
  </si>
  <si>
    <t>PDO SD</t>
  </si>
  <si>
    <t>Venti Tgt</t>
  </si>
  <si>
    <t xml:space="preserve"> Venti Mean</t>
  </si>
  <si>
    <t>Venti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</si>
</sst>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9BC2E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9BC2E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32705/Downloads/Copy%20of%20QCP%20trend%20-%20Apr'25%20to%20Mar'26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03%20DAILY%20REPORT%20LOGS\SMD%2015%20SMD%20Moisture%20Report\2025-26\SMD%20Moisture%20Report%20Jan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lan Q feedback"/>
      <sheetName val="Sheet1"/>
      <sheetName val="Sweetner loading"/>
      <sheetName val="Capsule colors"/>
      <sheetName val="VAS classifier"/>
      <sheetName val="Samples"/>
      <sheetName val="Sample plan"/>
      <sheetName val="Stack heater"/>
      <sheetName val="Sheet2"/>
      <sheetName val="KLD SP"/>
      <sheetName val="MC Ana"/>
      <sheetName val="Oven MC"/>
      <sheetName val="GRP Ana"/>
      <sheetName val="Grp WT"/>
      <sheetName val="IWV aa"/>
      <sheetName val="IWV"/>
      <sheetName val="Circ Ana"/>
      <sheetName val="Circ"/>
      <sheetName val="Venti Ana"/>
      <sheetName val="Venti"/>
      <sheetName val="PDO Ana"/>
      <sheetName val="PDO"/>
      <sheetName val="CPST Ana"/>
      <sheetName val="CPST"/>
      <sheetName val="Firm Ana"/>
      <sheetName val="Firm"/>
      <sheetName val="Cons"/>
      <sheetName val="LS"/>
      <sheetName val="SLims 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CLCNTFTK27-CIG</v>
          </cell>
          <cell r="C5">
            <v>1.507894736842106E-2</v>
          </cell>
        </row>
        <row r="6">
          <cell r="B6" t="str">
            <v>CLIBCFTK27-CIG</v>
          </cell>
          <cell r="C6">
            <v>2.1823529411764714E-2</v>
          </cell>
        </row>
        <row r="7">
          <cell r="B7" t="str">
            <v>CLCNTFTK27-CIG</v>
          </cell>
          <cell r="C7">
            <v>1.9090909090909103E-2</v>
          </cell>
        </row>
        <row r="8">
          <cell r="B8" t="str">
            <v>CLBLFTK27-CIG  </v>
          </cell>
          <cell r="C8">
            <v>4.3499999999999997E-2</v>
          </cell>
        </row>
        <row r="9">
          <cell r="B9" t="str">
            <v>GFSC2PFTK27-CIG</v>
          </cell>
          <cell r="C9">
            <v>1.8484848484848493E-2</v>
          </cell>
        </row>
        <row r="10">
          <cell r="B10" t="str">
            <v>CLCLVBFTK20-CIG</v>
          </cell>
          <cell r="C10">
            <v>3.4928571428571434E-2</v>
          </cell>
        </row>
        <row r="11">
          <cell r="B11" t="str">
            <v>GFPMDFFT2-CIG  </v>
          </cell>
          <cell r="C11">
            <v>2.0433333333333345E-2</v>
          </cell>
        </row>
        <row r="12">
          <cell r="B12" t="str">
            <v>FLSPLFT15-CIG  </v>
          </cell>
          <cell r="C12">
            <v>2.1542857142857152E-2</v>
          </cell>
        </row>
        <row r="13">
          <cell r="B13" t="str">
            <v>CLCNTFTK27-CIG</v>
          </cell>
          <cell r="C13">
            <v>1.479310344827587E-2</v>
          </cell>
        </row>
        <row r="14">
          <cell r="B14" t="str">
            <v>NCDLXFFT15-CIG</v>
          </cell>
          <cell r="C14">
            <v>2.1275862068965527E-2</v>
          </cell>
        </row>
        <row r="15">
          <cell r="B15" t="str">
            <v>GFPMDFFT2-CIG  </v>
          </cell>
          <cell r="C15">
            <v>2.7424242424242434E-2</v>
          </cell>
        </row>
        <row r="16">
          <cell r="B16" t="str">
            <v>CACLNBFT20-CIG</v>
          </cell>
          <cell r="C16">
            <v>3.9375E-2</v>
          </cell>
        </row>
        <row r="17">
          <cell r="B17" t="str">
            <v>BRCLVFT20-CIG  </v>
          </cell>
          <cell r="C17">
            <v>4.2249999999999996E-2</v>
          </cell>
        </row>
        <row r="18">
          <cell r="B18" t="str">
            <v>GFINMFT20-CIG  </v>
          </cell>
          <cell r="C18">
            <v>1.8694444444444454E-2</v>
          </cell>
        </row>
        <row r="19">
          <cell r="B19" t="str">
            <v>GFLMDPFFT2-CIG</v>
          </cell>
          <cell r="C19">
            <v>2.375E-2</v>
          </cell>
        </row>
        <row r="20">
          <cell r="B20" t="str">
            <v>NCDLXNPCT15-CIG</v>
          </cell>
          <cell r="C20">
            <v>1.5500000000000002E-2</v>
          </cell>
        </row>
        <row r="21">
          <cell r="B21" t="str">
            <v>GFRFFMC27-CIG  </v>
          </cell>
          <cell r="C21">
            <v>1.8666666666666665E-2</v>
          </cell>
        </row>
        <row r="22">
          <cell r="B22" t="str">
            <v>GFRFFNPFTK27CIG</v>
          </cell>
          <cell r="C22">
            <v>2.1263157894736852E-2</v>
          </cell>
        </row>
        <row r="23">
          <cell r="B23" t="str">
            <v>ACMNZFTK27-CIG</v>
          </cell>
          <cell r="C23">
            <v>2.2095238095238109E-2</v>
          </cell>
        </row>
        <row r="24">
          <cell r="B24" t="str">
            <v>CLBDFFCFTK27CIG</v>
          </cell>
          <cell r="C24">
            <v>2.1533333333333342E-2</v>
          </cell>
        </row>
        <row r="25">
          <cell r="B25" t="str">
            <v>CLBDFFCFTK27CIG</v>
          </cell>
          <cell r="C25">
            <v>1.8130434782608701E-2</v>
          </cell>
        </row>
        <row r="26">
          <cell r="B26" t="str">
            <v>CLRTFFCFTK27CIG</v>
          </cell>
          <cell r="C26">
            <v>2.0333333333333332E-2</v>
          </cell>
        </row>
        <row r="27">
          <cell r="C27">
            <v>2.1357999999999957E-2</v>
          </cell>
        </row>
      </sheetData>
      <sheetData sheetId="15"/>
      <sheetData sheetId="16">
        <row r="5">
          <cell r="B5" t="str">
            <v>Cig Name</v>
          </cell>
          <cell r="C5" t="str">
            <v>Average of Act Circ</v>
          </cell>
          <cell r="D5" t="str">
            <v>Average of SD</v>
          </cell>
        </row>
        <row r="6">
          <cell r="B6" t="str">
            <v>CLCNTFTK27-CIG</v>
          </cell>
          <cell r="C6">
            <v>16.93797368421053</v>
          </cell>
          <cell r="D6">
            <v>5.042105263157895E-2</v>
          </cell>
        </row>
        <row r="7">
          <cell r="B7" t="str">
            <v>CLIBCFTK27-CIG</v>
          </cell>
          <cell r="C7">
            <v>24.489235294117648</v>
          </cell>
          <cell r="D7">
            <v>5.0558823529411753E-2</v>
          </cell>
        </row>
        <row r="8">
          <cell r="B8" t="str">
            <v>CLBLFTK27-CIG  </v>
          </cell>
          <cell r="C8">
            <v>24.727250000000002</v>
          </cell>
          <cell r="D8">
            <v>6.7250000000000004E-2</v>
          </cell>
        </row>
        <row r="9">
          <cell r="B9" t="str">
            <v>GFSC2PFTK27-CIG</v>
          </cell>
          <cell r="C9">
            <v>16.919909090909087</v>
          </cell>
          <cell r="D9">
            <v>7.8575757575757577E-2</v>
          </cell>
        </row>
        <row r="10">
          <cell r="B10" t="str">
            <v>CLCLVBFTK20-CIG</v>
          </cell>
          <cell r="C10">
            <v>24.524857142857144</v>
          </cell>
          <cell r="D10">
            <v>9.3571428571428555E-2</v>
          </cell>
        </row>
        <row r="11">
          <cell r="B11" t="str">
            <v>GFPMDFFT2-CIG  </v>
          </cell>
          <cell r="C11">
            <v>24.493233333333333</v>
          </cell>
          <cell r="D11">
            <v>5.3633333333333338E-2</v>
          </cell>
        </row>
        <row r="12">
          <cell r="B12" t="str">
            <v>FLSPLFT15-CIG  </v>
          </cell>
          <cell r="C12">
            <v>24.523571428571426</v>
          </cell>
          <cell r="D12">
            <v>6.1314285714285696E-2</v>
          </cell>
        </row>
        <row r="13">
          <cell r="B13" t="str">
            <v>CLCNTFTK27-CIG</v>
          </cell>
          <cell r="C13">
            <v>16.954620689655172</v>
          </cell>
          <cell r="D13">
            <v>6.1241379310344804E-2</v>
          </cell>
        </row>
        <row r="14">
          <cell r="B14" t="str">
            <v>NCDLXFFT15-CIG</v>
          </cell>
          <cell r="C14">
            <v>24.513931034482756</v>
          </cell>
          <cell r="D14">
            <v>6.7862068965517247E-2</v>
          </cell>
        </row>
        <row r="15">
          <cell r="B15" t="str">
            <v>GFPMDFFT2-CIG  </v>
          </cell>
          <cell r="C15">
            <v>24.505636363636366</v>
          </cell>
          <cell r="D15">
            <v>5.1242424242424235E-2</v>
          </cell>
        </row>
        <row r="16">
          <cell r="B16" t="str">
            <v>CACLNBFT20-CIG</v>
          </cell>
          <cell r="C16">
            <v>24.557375</v>
          </cell>
          <cell r="D16">
            <v>8.8249999999999995E-2</v>
          </cell>
        </row>
        <row r="17">
          <cell r="B17" t="str">
            <v>BRCLVFT20-CIG  </v>
          </cell>
          <cell r="C17">
            <v>24.420125000000006</v>
          </cell>
          <cell r="D17">
            <v>0.108625</v>
          </cell>
        </row>
        <row r="18">
          <cell r="B18" t="str">
            <v>GFINMFT20-CIG  </v>
          </cell>
          <cell r="C18">
            <v>24.501833333333337</v>
          </cell>
          <cell r="D18">
            <v>5.8055555555555555E-2</v>
          </cell>
        </row>
        <row r="19">
          <cell r="B19" t="str">
            <v>GFLMDPFFT2-CIG</v>
          </cell>
          <cell r="C19">
            <v>24.546250000000001</v>
          </cell>
          <cell r="D19">
            <v>5.5750000000000008E-2</v>
          </cell>
        </row>
        <row r="20">
          <cell r="B20" t="str">
            <v>NCDLXNPCT15-CIG</v>
          </cell>
          <cell r="C20">
            <v>24.531499999999998</v>
          </cell>
          <cell r="D20">
            <v>5.4333333333333324E-2</v>
          </cell>
        </row>
        <row r="21">
          <cell r="B21" t="str">
            <v>GFRFFMC27-CIG  </v>
          </cell>
          <cell r="C21">
            <v>24.471166666666665</v>
          </cell>
          <cell r="D21">
            <v>6.5166666666666664E-2</v>
          </cell>
        </row>
        <row r="22">
          <cell r="B22" t="str">
            <v>GFRFFNPFTK27CIG</v>
          </cell>
          <cell r="C22">
            <v>24.520999999999994</v>
          </cell>
          <cell r="D22">
            <v>5.6000000000000001E-2</v>
          </cell>
        </row>
        <row r="23">
          <cell r="B23" t="str">
            <v>ACMNZFTK27-CIG</v>
          </cell>
          <cell r="C23">
            <v>16.934476190476193</v>
          </cell>
          <cell r="D23">
            <v>7.2119047619047624E-2</v>
          </cell>
        </row>
        <row r="24">
          <cell r="B24" t="str">
            <v>CLBDFFCFTK27CIG</v>
          </cell>
          <cell r="C24">
            <v>24.523866666666667</v>
          </cell>
          <cell r="D24">
            <v>7.3033333333333325E-2</v>
          </cell>
        </row>
        <row r="25">
          <cell r="B25" t="str">
            <v>CLBDFFCFTK27CIG</v>
          </cell>
          <cell r="C25">
            <v>24.481999999999999</v>
          </cell>
          <cell r="D25">
            <v>4.1869565217391318E-2</v>
          </cell>
        </row>
        <row r="26">
          <cell r="B26" t="str">
            <v>CLRTFFCFTK27CIG</v>
          </cell>
          <cell r="C26">
            <v>24.576499999999999</v>
          </cell>
          <cell r="D26">
            <v>4.6499999999999993E-2</v>
          </cell>
        </row>
        <row r="27">
          <cell r="B27" t="str">
            <v>CLCNTFTK27-CIG</v>
          </cell>
          <cell r="C27">
            <v>16.909606060606055</v>
          </cell>
          <cell r="D27">
            <v>7.2575757575757557E-2</v>
          </cell>
        </row>
        <row r="28">
          <cell r="C28">
            <v>21.857598000000003</v>
          </cell>
          <cell r="D28">
            <v>6.3046000000000033E-2</v>
          </cell>
        </row>
      </sheetData>
      <sheetData sheetId="17"/>
      <sheetData sheetId="18">
        <row r="5">
          <cell r="B5" t="str">
            <v>CLIBCFTK27-CIG</v>
          </cell>
          <cell r="C5">
            <v>20</v>
          </cell>
          <cell r="D5">
            <v>19.735882352941179</v>
          </cell>
          <cell r="E5">
            <v>1.1702941176470585</v>
          </cell>
          <cell r="G5">
            <v>20</v>
          </cell>
        </row>
        <row r="6">
          <cell r="B6" t="str">
            <v>CLBLFTK27-CIG  </v>
          </cell>
          <cell r="C6">
            <v>30</v>
          </cell>
          <cell r="D6">
            <v>31.042500000000004</v>
          </cell>
          <cell r="E6">
            <v>2.5149999999999997</v>
          </cell>
          <cell r="G6">
            <v>24</v>
          </cell>
        </row>
        <row r="7">
          <cell r="B7" t="str">
            <v>GFSC2PFTK27-CIG</v>
          </cell>
          <cell r="C7">
            <v>35</v>
          </cell>
          <cell r="D7">
            <v>35.576969696969698</v>
          </cell>
          <cell r="E7">
            <v>2.5454545454545459</v>
          </cell>
          <cell r="G7">
            <v>35</v>
          </cell>
        </row>
        <row r="8">
          <cell r="B8" t="str">
            <v>CLCNTFTK27-CIG</v>
          </cell>
          <cell r="C8">
            <v>35</v>
          </cell>
          <cell r="D8">
            <v>35.404827586206892</v>
          </cell>
          <cell r="E8">
            <v>2.1213793103448273</v>
          </cell>
          <cell r="G8">
            <v>35</v>
          </cell>
        </row>
        <row r="9">
          <cell r="B9" t="str">
            <v>GFRFFMC27-CIG  </v>
          </cell>
          <cell r="C9">
            <v>12</v>
          </cell>
          <cell r="D9">
            <v>11.413333333333332</v>
          </cell>
          <cell r="E9">
            <v>1.2133333333333332</v>
          </cell>
          <cell r="G9">
            <v>12</v>
          </cell>
        </row>
        <row r="10">
          <cell r="B10" t="str">
            <v>GFRFFNPFTK27CIG</v>
          </cell>
          <cell r="C10">
            <v>12</v>
          </cell>
          <cell r="D10">
            <v>11.86</v>
          </cell>
          <cell r="E10">
            <v>1.3742105263157895</v>
          </cell>
          <cell r="G10">
            <v>35</v>
          </cell>
        </row>
        <row r="11">
          <cell r="B11" t="str">
            <v>ACMNZFTK27-CIG</v>
          </cell>
          <cell r="C11">
            <v>35</v>
          </cell>
          <cell r="D11">
            <v>34.920000000000009</v>
          </cell>
          <cell r="E11">
            <v>2.1169047619047618</v>
          </cell>
          <cell r="G11">
            <v>24</v>
          </cell>
        </row>
        <row r="12">
          <cell r="B12" t="str">
            <v>CLBDFFCFTK27CIG</v>
          </cell>
          <cell r="C12">
            <v>24</v>
          </cell>
          <cell r="D12">
            <v>20.937666666666665</v>
          </cell>
          <cell r="E12">
            <v>1.5003333333333333</v>
          </cell>
          <cell r="G12">
            <v>35</v>
          </cell>
        </row>
        <row r="13">
          <cell r="B13" t="str">
            <v>CLBDFFCFTK27CIG</v>
          </cell>
          <cell r="C13">
            <v>24</v>
          </cell>
          <cell r="D13">
            <v>24.515217391304351</v>
          </cell>
          <cell r="E13">
            <v>1.6443478260869566</v>
          </cell>
          <cell r="G13">
            <v>35</v>
          </cell>
        </row>
        <row r="14">
          <cell r="B14" t="str">
            <v>CLRTFFCFTK27CIG</v>
          </cell>
          <cell r="C14">
            <v>12</v>
          </cell>
          <cell r="D14">
            <v>13.13833333333333</v>
          </cell>
          <cell r="E14">
            <v>1.2550000000000001</v>
          </cell>
          <cell r="G14">
            <v>24</v>
          </cell>
        </row>
        <row r="15">
          <cell r="B15" t="str">
            <v>CLCNTFTK27-CIG</v>
          </cell>
          <cell r="C15">
            <v>35</v>
          </cell>
          <cell r="D15">
            <v>34.951315789473689</v>
          </cell>
          <cell r="E15">
            <v>1.8028947368421051</v>
          </cell>
          <cell r="G15">
            <v>24</v>
          </cell>
        </row>
        <row r="16">
          <cell r="B16" t="str">
            <v>CLCNTFTK27-CIG</v>
          </cell>
          <cell r="C16">
            <v>35</v>
          </cell>
          <cell r="D16">
            <v>36.610303030303029</v>
          </cell>
          <cell r="E16">
            <v>2.2500000000000004</v>
          </cell>
          <cell r="G16">
            <v>35</v>
          </cell>
        </row>
        <row r="17">
          <cell r="G17">
            <v>35</v>
          </cell>
        </row>
        <row r="25">
          <cell r="G25">
            <v>24</v>
          </cell>
        </row>
        <row r="26">
          <cell r="G26">
            <v>35</v>
          </cell>
        </row>
        <row r="27">
          <cell r="G27">
            <v>35</v>
          </cell>
        </row>
      </sheetData>
      <sheetData sheetId="19"/>
      <sheetData sheetId="20">
        <row r="5">
          <cell r="B5" t="str">
            <v>CLCNTFTK27-CIG</v>
          </cell>
          <cell r="C5">
            <v>170</v>
          </cell>
          <cell r="D5">
            <v>172.86842105263159</v>
          </cell>
          <cell r="E5">
            <v>7.5</v>
          </cell>
        </row>
        <row r="6">
          <cell r="B6" t="str">
            <v>CLIBCFTK27-CIG</v>
          </cell>
          <cell r="C6">
            <v>110</v>
          </cell>
          <cell r="D6">
            <v>112.58823529411765</v>
          </cell>
          <cell r="E6">
            <v>3.4705882352941178</v>
          </cell>
        </row>
        <row r="7">
          <cell r="B7" t="str">
            <v>GFSC2PFTK27-CIG</v>
          </cell>
          <cell r="C7">
            <v>170</v>
          </cell>
          <cell r="D7">
            <v>174.57575757575756</v>
          </cell>
          <cell r="E7">
            <v>10.121212121212121</v>
          </cell>
        </row>
        <row r="8">
          <cell r="B8" t="str">
            <v>CLCLVBFTK20-CIG</v>
          </cell>
          <cell r="C8">
            <v>90</v>
          </cell>
          <cell r="D8">
            <v>95.071428571428569</v>
          </cell>
          <cell r="E8">
            <v>8.0714285714285712</v>
          </cell>
        </row>
        <row r="9">
          <cell r="B9" t="str">
            <v>GFPMDFFT2-CIG  </v>
          </cell>
          <cell r="C9">
            <v>110</v>
          </cell>
          <cell r="D9">
            <v>118.5</v>
          </cell>
          <cell r="E9">
            <v>6.2</v>
          </cell>
        </row>
        <row r="10">
          <cell r="B10" t="str">
            <v>FLSPLFT15-CIG  </v>
          </cell>
          <cell r="C10">
            <v>104</v>
          </cell>
          <cell r="D10">
            <v>110.57142857142857</v>
          </cell>
          <cell r="E10">
            <v>5.2857142857142856</v>
          </cell>
        </row>
        <row r="11">
          <cell r="B11" t="str">
            <v>CLCNTFTK27-CIG</v>
          </cell>
          <cell r="C11">
            <v>170</v>
          </cell>
          <cell r="D11">
            <v>180.41379310344828</v>
          </cell>
          <cell r="E11">
            <v>7.6896551724137927</v>
          </cell>
        </row>
        <row r="12">
          <cell r="B12" t="str">
            <v>CACLNBFT20-CIG</v>
          </cell>
          <cell r="C12">
            <v>95</v>
          </cell>
          <cell r="D12">
            <v>102.14285714285714</v>
          </cell>
          <cell r="E12">
            <v>9.1428571428571423</v>
          </cell>
        </row>
        <row r="13">
          <cell r="B13" t="str">
            <v>BRCLVFT20-CIG  </v>
          </cell>
          <cell r="C13">
            <v>100</v>
          </cell>
          <cell r="D13">
            <v>86.25</v>
          </cell>
          <cell r="E13">
            <v>9.375</v>
          </cell>
        </row>
        <row r="14">
          <cell r="B14" t="str">
            <v>GFINMFT20-CIG  </v>
          </cell>
          <cell r="C14">
            <v>103</v>
          </cell>
          <cell r="D14">
            <v>110.57142857142857</v>
          </cell>
          <cell r="E14">
            <v>5.1142857142857139</v>
          </cell>
        </row>
        <row r="15">
          <cell r="B15" t="str">
            <v>GFLMDPFFT2-CIG</v>
          </cell>
          <cell r="C15">
            <v>102</v>
          </cell>
          <cell r="D15">
            <v>117.5</v>
          </cell>
          <cell r="E15">
            <v>7</v>
          </cell>
        </row>
        <row r="16">
          <cell r="B16" t="str">
            <v>NCDLXNPCT15-CIG</v>
          </cell>
          <cell r="C16">
            <v>109</v>
          </cell>
          <cell r="D16">
            <v>112</v>
          </cell>
          <cell r="E16">
            <v>3.1666666666666665</v>
          </cell>
        </row>
        <row r="17">
          <cell r="B17" t="str">
            <v>GFRFFMC27-CIG  </v>
          </cell>
          <cell r="C17">
            <v>109</v>
          </cell>
          <cell r="D17">
            <v>119.33333333333333</v>
          </cell>
          <cell r="E17">
            <v>3.6666666666666665</v>
          </cell>
        </row>
        <row r="18">
          <cell r="B18" t="str">
            <v>GFRFFNPFTK27CIG</v>
          </cell>
          <cell r="C18">
            <v>109</v>
          </cell>
          <cell r="D18">
            <v>122.26315789473684</v>
          </cell>
          <cell r="E18">
            <v>4.5789473684210522</v>
          </cell>
        </row>
        <row r="19">
          <cell r="B19" t="str">
            <v>ACMNZFTK27-CIG</v>
          </cell>
          <cell r="C19">
            <v>170</v>
          </cell>
          <cell r="D19">
            <v>175.35714285714286</v>
          </cell>
          <cell r="E19">
            <v>9.8809523809523814</v>
          </cell>
        </row>
        <row r="20">
          <cell r="B20" t="str">
            <v>CLBDFFCFTK27CIG</v>
          </cell>
          <cell r="C20">
            <v>106</v>
          </cell>
          <cell r="D20">
            <v>109.23333333333333</v>
          </cell>
          <cell r="E20">
            <v>3.2666666666666666</v>
          </cell>
        </row>
        <row r="21">
          <cell r="B21" t="str">
            <v>CLBDFFCFTK27CIG</v>
          </cell>
          <cell r="C21">
            <v>106</v>
          </cell>
          <cell r="D21">
            <v>109.95652173913044</v>
          </cell>
          <cell r="E21">
            <v>3.5652173913043477</v>
          </cell>
        </row>
        <row r="22">
          <cell r="B22" t="str">
            <v>CLRTFFCFTK27CIG</v>
          </cell>
          <cell r="C22">
            <v>105</v>
          </cell>
          <cell r="D22">
            <v>121</v>
          </cell>
          <cell r="E22">
            <v>3.8333333333333335</v>
          </cell>
        </row>
        <row r="23">
          <cell r="B23" t="str">
            <v>CLCNTFTK27-CIG</v>
          </cell>
          <cell r="C23">
            <v>170</v>
          </cell>
          <cell r="D23">
            <v>186.03030303030303</v>
          </cell>
          <cell r="E23">
            <v>10.454545454545455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EX-MAKER_ PACKER "/>
      <sheetName val="Sheet1"/>
    </sheetNames>
    <sheetDataSet>
      <sheetData sheetId="0">
        <row r="1">
          <cell r="A1" t="str">
            <v>Blend Code</v>
          </cell>
          <cell r="B1" t="str">
            <v>Blend Name</v>
          </cell>
        </row>
        <row r="2">
          <cell r="A2" t="str">
            <v>J1</v>
          </cell>
          <cell r="B2" t="str">
            <v>AKC</v>
          </cell>
        </row>
        <row r="3">
          <cell r="A3">
            <v>20</v>
          </cell>
          <cell r="B3" t="str">
            <v>BER</v>
          </cell>
        </row>
        <row r="4">
          <cell r="A4">
            <v>29</v>
          </cell>
          <cell r="B4" t="str">
            <v>BERO</v>
          </cell>
        </row>
        <row r="5">
          <cell r="A5">
            <v>44</v>
          </cell>
          <cell r="B5" t="str">
            <v>BHT</v>
          </cell>
        </row>
        <row r="6">
          <cell r="A6">
            <v>10</v>
          </cell>
          <cell r="B6" t="str">
            <v>BKO</v>
          </cell>
        </row>
        <row r="7">
          <cell r="A7" t="str">
            <v>D3</v>
          </cell>
          <cell r="B7" t="str">
            <v>BKR</v>
          </cell>
        </row>
        <row r="8">
          <cell r="A8">
            <v>92</v>
          </cell>
          <cell r="B8" t="str">
            <v>BNF</v>
          </cell>
        </row>
        <row r="9">
          <cell r="A9">
            <v>83</v>
          </cell>
          <cell r="B9" t="str">
            <v>BUE</v>
          </cell>
        </row>
        <row r="10">
          <cell r="A10">
            <v>74</v>
          </cell>
          <cell r="B10" t="str">
            <v>CA</v>
          </cell>
        </row>
        <row r="11">
          <cell r="A11" t="str">
            <v>C6</v>
          </cell>
          <cell r="B11" t="str">
            <v>CBA</v>
          </cell>
        </row>
        <row r="12">
          <cell r="A12" t="str">
            <v>I1</v>
          </cell>
          <cell r="B12" t="str">
            <v>CBD</v>
          </cell>
        </row>
        <row r="13">
          <cell r="A13">
            <v>35</v>
          </cell>
          <cell r="B13" t="str">
            <v>CBL</v>
          </cell>
        </row>
        <row r="14">
          <cell r="A14">
            <v>18</v>
          </cell>
          <cell r="B14" t="str">
            <v>CBLO</v>
          </cell>
        </row>
        <row r="15">
          <cell r="A15">
            <v>30</v>
          </cell>
          <cell r="B15" t="str">
            <v>CBM</v>
          </cell>
        </row>
        <row r="16">
          <cell r="A16">
            <v>33</v>
          </cell>
          <cell r="B16" t="str">
            <v>CBS</v>
          </cell>
        </row>
        <row r="17">
          <cell r="A17">
            <v>36</v>
          </cell>
          <cell r="B17" t="str">
            <v>CBU</v>
          </cell>
        </row>
        <row r="18">
          <cell r="A18">
            <v>97</v>
          </cell>
          <cell r="B18" t="str">
            <v>CCF</v>
          </cell>
        </row>
        <row r="19">
          <cell r="A19">
            <v>98</v>
          </cell>
          <cell r="B19" t="str">
            <v>CCS</v>
          </cell>
        </row>
        <row r="20">
          <cell r="A20">
            <v>50</v>
          </cell>
          <cell r="B20" t="str">
            <v>CFY</v>
          </cell>
        </row>
        <row r="21">
          <cell r="A21" t="str">
            <v>H3</v>
          </cell>
          <cell r="B21" t="str">
            <v>CJQ</v>
          </cell>
        </row>
        <row r="22">
          <cell r="A22" t="str">
            <v>R1</v>
          </cell>
          <cell r="B22" t="str">
            <v>CKN</v>
          </cell>
        </row>
        <row r="23">
          <cell r="A23">
            <v>16</v>
          </cell>
          <cell r="B23" t="str">
            <v>CLO</v>
          </cell>
        </row>
        <row r="24">
          <cell r="A24" t="str">
            <v>J2</v>
          </cell>
          <cell r="B24" t="str">
            <v>CLS</v>
          </cell>
        </row>
        <row r="25">
          <cell r="A25" t="str">
            <v>H1</v>
          </cell>
          <cell r="B25" t="str">
            <v>CRK</v>
          </cell>
        </row>
        <row r="26">
          <cell r="A26" t="str">
            <v>H2</v>
          </cell>
          <cell r="B26" t="str">
            <v>CRKO</v>
          </cell>
        </row>
        <row r="27">
          <cell r="A27" t="str">
            <v>J7</v>
          </cell>
          <cell r="B27" t="str">
            <v>CRL</v>
          </cell>
        </row>
        <row r="28">
          <cell r="A28" t="str">
            <v>J3</v>
          </cell>
          <cell r="B28" t="str">
            <v>CRN</v>
          </cell>
        </row>
        <row r="29">
          <cell r="A29" t="str">
            <v>J5</v>
          </cell>
          <cell r="B29" t="str">
            <v>CRZ</v>
          </cell>
        </row>
        <row r="30">
          <cell r="A30">
            <v>71</v>
          </cell>
          <cell r="B30" t="str">
            <v>CSK</v>
          </cell>
        </row>
        <row r="31">
          <cell r="A31">
            <v>72</v>
          </cell>
          <cell r="B31" t="str">
            <v>CSKO</v>
          </cell>
        </row>
        <row r="32">
          <cell r="A32">
            <v>24</v>
          </cell>
          <cell r="B32" t="str">
            <v>CT</v>
          </cell>
        </row>
        <row r="33">
          <cell r="A33">
            <v>91</v>
          </cell>
          <cell r="B33" t="str">
            <v>CTL</v>
          </cell>
        </row>
        <row r="34">
          <cell r="A34">
            <v>89</v>
          </cell>
          <cell r="B34" t="str">
            <v>CTLO</v>
          </cell>
        </row>
        <row r="35">
          <cell r="A35">
            <v>7</v>
          </cell>
          <cell r="B35" t="str">
            <v>CTM</v>
          </cell>
        </row>
        <row r="36">
          <cell r="A36">
            <v>71</v>
          </cell>
          <cell r="B36" t="str">
            <v>CTM</v>
          </cell>
        </row>
        <row r="37">
          <cell r="A37">
            <v>12</v>
          </cell>
          <cell r="B37" t="str">
            <v>CTO</v>
          </cell>
        </row>
        <row r="38">
          <cell r="A38" t="str">
            <v>P1</v>
          </cell>
          <cell r="B38" t="str">
            <v>CTR</v>
          </cell>
        </row>
        <row r="39">
          <cell r="A39" t="str">
            <v>C1</v>
          </cell>
          <cell r="B39" t="str">
            <v>DF</v>
          </cell>
        </row>
        <row r="40">
          <cell r="A40" t="str">
            <v>H5</v>
          </cell>
          <cell r="B40" t="str">
            <v>DK</v>
          </cell>
        </row>
        <row r="41">
          <cell r="A41" t="str">
            <v>C2</v>
          </cell>
          <cell r="B41" t="str">
            <v>DL</v>
          </cell>
        </row>
        <row r="42">
          <cell r="A42" t="str">
            <v>D6</v>
          </cell>
          <cell r="B42" t="str">
            <v>DS</v>
          </cell>
        </row>
        <row r="43">
          <cell r="A43" t="str">
            <v>USB</v>
          </cell>
          <cell r="B43" t="str">
            <v>E6</v>
          </cell>
        </row>
        <row r="44">
          <cell r="A44">
            <v>54</v>
          </cell>
          <cell r="B44" t="str">
            <v>FRNO</v>
          </cell>
        </row>
        <row r="45">
          <cell r="A45">
            <v>76</v>
          </cell>
          <cell r="B45" t="str">
            <v>FRS</v>
          </cell>
        </row>
        <row r="46">
          <cell r="A46">
            <v>73</v>
          </cell>
          <cell r="B46" t="str">
            <v>FRSO</v>
          </cell>
        </row>
        <row r="47">
          <cell r="A47" t="str">
            <v>A6</v>
          </cell>
          <cell r="B47" t="str">
            <v>GBS</v>
          </cell>
        </row>
        <row r="48">
          <cell r="A48">
            <v>55</v>
          </cell>
          <cell r="B48" t="str">
            <v>GFO</v>
          </cell>
        </row>
        <row r="49">
          <cell r="A49">
            <v>43</v>
          </cell>
          <cell r="B49" t="str">
            <v>HIF</v>
          </cell>
        </row>
        <row r="50">
          <cell r="A50">
            <v>45</v>
          </cell>
          <cell r="B50" t="str">
            <v>HIL</v>
          </cell>
        </row>
        <row r="51">
          <cell r="A51">
            <v>48</v>
          </cell>
          <cell r="B51" t="str">
            <v>HIN</v>
          </cell>
        </row>
        <row r="52">
          <cell r="A52">
            <v>46</v>
          </cell>
          <cell r="B52" t="str">
            <v>HIU</v>
          </cell>
        </row>
        <row r="53">
          <cell r="A53">
            <v>52</v>
          </cell>
          <cell r="B53" t="str">
            <v>HIY</v>
          </cell>
        </row>
        <row r="54">
          <cell r="A54">
            <v>94</v>
          </cell>
          <cell r="B54" t="str">
            <v>HL</v>
          </cell>
        </row>
        <row r="55">
          <cell r="A55">
            <v>96</v>
          </cell>
          <cell r="B55" t="str">
            <v>HML</v>
          </cell>
        </row>
        <row r="56">
          <cell r="A56">
            <v>99</v>
          </cell>
          <cell r="B56" t="str">
            <v>HU</v>
          </cell>
        </row>
        <row r="57">
          <cell r="A57" t="str">
            <v>A5</v>
          </cell>
          <cell r="B57" t="str">
            <v>MPL</v>
          </cell>
        </row>
        <row r="58">
          <cell r="A58">
            <v>1</v>
          </cell>
          <cell r="B58" t="str">
            <v>MT</v>
          </cell>
        </row>
        <row r="59">
          <cell r="A59" t="str">
            <v>G5</v>
          </cell>
          <cell r="B59" t="str">
            <v>MTG</v>
          </cell>
        </row>
        <row r="60">
          <cell r="A60">
            <v>86</v>
          </cell>
          <cell r="B60" t="str">
            <v>MTL</v>
          </cell>
        </row>
        <row r="61">
          <cell r="A61" t="str">
            <v>D9</v>
          </cell>
          <cell r="B61" t="str">
            <v>MTM</v>
          </cell>
        </row>
        <row r="62">
          <cell r="A62" t="str">
            <v>N8</v>
          </cell>
          <cell r="B62" t="str">
            <v>NGF</v>
          </cell>
        </row>
        <row r="63">
          <cell r="A63" t="str">
            <v>N1</v>
          </cell>
          <cell r="B63" t="str">
            <v>NP1</v>
          </cell>
        </row>
        <row r="64">
          <cell r="A64" t="str">
            <v>N2</v>
          </cell>
          <cell r="B64" t="str">
            <v>NP2</v>
          </cell>
        </row>
        <row r="65">
          <cell r="A65">
            <v>78</v>
          </cell>
          <cell r="B65" t="str">
            <v>ORC</v>
          </cell>
        </row>
        <row r="66">
          <cell r="A66" t="str">
            <v>C9</v>
          </cell>
          <cell r="B66" t="str">
            <v>RCC</v>
          </cell>
        </row>
        <row r="67">
          <cell r="A67" t="str">
            <v>N7</v>
          </cell>
          <cell r="B67" t="str">
            <v>SBJ</v>
          </cell>
        </row>
        <row r="68">
          <cell r="A68" t="str">
            <v>N4</v>
          </cell>
          <cell r="B68" t="str">
            <v>SCD</v>
          </cell>
        </row>
        <row r="69">
          <cell r="A69">
            <v>60</v>
          </cell>
          <cell r="B69" t="str">
            <v>SCT</v>
          </cell>
        </row>
        <row r="70">
          <cell r="A70">
            <v>6</v>
          </cell>
          <cell r="B70" t="str">
            <v>SEL</v>
          </cell>
        </row>
        <row r="71">
          <cell r="A71">
            <v>61</v>
          </cell>
          <cell r="B71" t="str">
            <v>SEL</v>
          </cell>
        </row>
        <row r="72">
          <cell r="A72">
            <v>23</v>
          </cell>
          <cell r="B72" t="str">
            <v>SFM</v>
          </cell>
        </row>
        <row r="73">
          <cell r="A73">
            <v>28</v>
          </cell>
          <cell r="B73" t="str">
            <v>SFMO</v>
          </cell>
        </row>
        <row r="74">
          <cell r="A74" t="str">
            <v>W9</v>
          </cell>
          <cell r="B74" t="str">
            <v>SFN</v>
          </cell>
        </row>
        <row r="75">
          <cell r="A75" t="str">
            <v>W8</v>
          </cell>
          <cell r="B75" t="str">
            <v>SFNO</v>
          </cell>
        </row>
        <row r="76">
          <cell r="A76" t="str">
            <v>A1</v>
          </cell>
          <cell r="B76" t="str">
            <v>SHK</v>
          </cell>
        </row>
        <row r="77">
          <cell r="A77" t="str">
            <v>N6</v>
          </cell>
          <cell r="B77" t="str">
            <v>SKT</v>
          </cell>
        </row>
        <row r="78">
          <cell r="A78">
            <v>13</v>
          </cell>
          <cell r="B78" t="str">
            <v>SSM</v>
          </cell>
        </row>
        <row r="79">
          <cell r="A79">
            <v>38</v>
          </cell>
          <cell r="B79" t="str">
            <v>SSO</v>
          </cell>
        </row>
        <row r="80">
          <cell r="A80">
            <v>22</v>
          </cell>
          <cell r="B80" t="str">
            <v>TF</v>
          </cell>
        </row>
        <row r="81">
          <cell r="A81" t="str">
            <v>B5</v>
          </cell>
          <cell r="B81" t="str">
            <v>TFL</v>
          </cell>
        </row>
        <row r="82">
          <cell r="A82" t="str">
            <v>T1</v>
          </cell>
          <cell r="B82" t="str">
            <v>TFN</v>
          </cell>
        </row>
        <row r="83">
          <cell r="A83">
            <v>19</v>
          </cell>
          <cell r="B83" t="str">
            <v>TFO</v>
          </cell>
        </row>
        <row r="84">
          <cell r="A84" t="str">
            <v>B6</v>
          </cell>
          <cell r="B84" t="str">
            <v>TFPL</v>
          </cell>
        </row>
        <row r="85">
          <cell r="A85" t="str">
            <v>B2</v>
          </cell>
          <cell r="B85" t="str">
            <v>TFPM</v>
          </cell>
        </row>
        <row r="86">
          <cell r="A86" t="str">
            <v>B4</v>
          </cell>
          <cell r="B86" t="str">
            <v>TFPN</v>
          </cell>
        </row>
        <row r="87">
          <cell r="A87" t="str">
            <v>T2</v>
          </cell>
          <cell r="B87" t="str">
            <v>TFS</v>
          </cell>
        </row>
        <row r="88">
          <cell r="A88" t="str">
            <v>A3</v>
          </cell>
          <cell r="B88" t="str">
            <v>TFZ</v>
          </cell>
        </row>
        <row r="89">
          <cell r="A89" t="str">
            <v>A8</v>
          </cell>
          <cell r="B89" t="str">
            <v>TFZO</v>
          </cell>
        </row>
        <row r="90">
          <cell r="A90" t="str">
            <v>A7</v>
          </cell>
          <cell r="B90" t="str">
            <v>TIZ</v>
          </cell>
        </row>
        <row r="91">
          <cell r="A91">
            <v>80</v>
          </cell>
          <cell r="B91" t="str">
            <v>UFY</v>
          </cell>
        </row>
        <row r="92">
          <cell r="A92">
            <v>81</v>
          </cell>
          <cell r="B92" t="str">
            <v>UMY</v>
          </cell>
        </row>
        <row r="93">
          <cell r="A93" t="str">
            <v>E6</v>
          </cell>
          <cell r="B93" t="str">
            <v>USB</v>
          </cell>
        </row>
        <row r="94">
          <cell r="A94">
            <v>11</v>
          </cell>
          <cell r="B94" t="str">
            <v>USM</v>
          </cell>
        </row>
        <row r="95">
          <cell r="A95" t="str">
            <v>H9</v>
          </cell>
          <cell r="B95" t="str">
            <v>USN</v>
          </cell>
        </row>
        <row r="96">
          <cell r="A96" t="str">
            <v>E5</v>
          </cell>
          <cell r="B96" t="str">
            <v>USR</v>
          </cell>
        </row>
        <row r="97">
          <cell r="A97" t="str">
            <v>H7</v>
          </cell>
          <cell r="B97" t="str">
            <v>USS</v>
          </cell>
        </row>
        <row r="98">
          <cell r="A98" t="str">
            <v>M9</v>
          </cell>
          <cell r="B98" t="str">
            <v>USZ</v>
          </cell>
        </row>
        <row r="99">
          <cell r="A99">
            <v>31</v>
          </cell>
          <cell r="B99" t="str">
            <v>WFF</v>
          </cell>
        </row>
        <row r="100">
          <cell r="A100">
            <v>26</v>
          </cell>
          <cell r="B100" t="str">
            <v>WFFO</v>
          </cell>
        </row>
        <row r="101">
          <cell r="A101" t="str">
            <v>C5</v>
          </cell>
          <cell r="B101" t="str">
            <v>WFL</v>
          </cell>
        </row>
        <row r="102">
          <cell r="A102">
            <v>87</v>
          </cell>
          <cell r="B102" t="str">
            <v>WFP</v>
          </cell>
        </row>
        <row r="103">
          <cell r="A103">
            <v>85</v>
          </cell>
          <cell r="B103" t="str">
            <v>WFPO</v>
          </cell>
        </row>
        <row r="104">
          <cell r="A104" t="str">
            <v>B8</v>
          </cell>
          <cell r="B104" t="str">
            <v>WM</v>
          </cell>
        </row>
        <row r="105">
          <cell r="A105" t="str">
            <v>B9</v>
          </cell>
          <cell r="B105" t="str">
            <v>WMO</v>
          </cell>
        </row>
        <row r="106">
          <cell r="A106">
            <v>88</v>
          </cell>
          <cell r="B106" t="str">
            <v>WSC</v>
          </cell>
        </row>
        <row r="107">
          <cell r="A107">
            <v>21</v>
          </cell>
          <cell r="B107" t="str">
            <v>WT</v>
          </cell>
        </row>
        <row r="108">
          <cell r="A108">
            <v>75</v>
          </cell>
          <cell r="B108" t="str">
            <v>WTL</v>
          </cell>
        </row>
        <row r="109">
          <cell r="A109">
            <v>79</v>
          </cell>
          <cell r="B109" t="str">
            <v>WTO</v>
          </cell>
        </row>
        <row r="110">
          <cell r="A110">
            <v>57</v>
          </cell>
          <cell r="B110" t="str">
            <v>YKC</v>
          </cell>
        </row>
        <row r="111">
          <cell r="A111">
            <v>66</v>
          </cell>
          <cell r="B111" t="str">
            <v>YKN</v>
          </cell>
        </row>
        <row r="112">
          <cell r="A112" t="str">
            <v>H8</v>
          </cell>
          <cell r="B112" t="str">
            <v>YRS</v>
          </cell>
        </row>
        <row r="113">
          <cell r="A113">
            <v>14</v>
          </cell>
          <cell r="B113" t="str">
            <v>YSL</v>
          </cell>
        </row>
        <row r="114">
          <cell r="A114" t="str">
            <v>B7</v>
          </cell>
          <cell r="B114" t="str">
            <v>YSS</v>
          </cell>
        </row>
        <row r="115">
          <cell r="A115">
            <v>2</v>
          </cell>
          <cell r="B115" t="str">
            <v>YT</v>
          </cell>
        </row>
        <row r="116">
          <cell r="A116" t="str">
            <v>C4</v>
          </cell>
          <cell r="B116" t="str">
            <v>YTL</v>
          </cell>
        </row>
        <row r="117">
          <cell r="A117">
            <v>65</v>
          </cell>
          <cell r="B117" t="str">
            <v>YTME</v>
          </cell>
        </row>
        <row r="118">
          <cell r="A118" t="str">
            <v>H6</v>
          </cell>
          <cell r="B118" t="str">
            <v>YTMN</v>
          </cell>
        </row>
        <row r="119">
          <cell r="A119">
            <v>70</v>
          </cell>
          <cell r="B119" t="str">
            <v>YTMO</v>
          </cell>
        </row>
        <row r="120">
          <cell r="A120" t="str">
            <v>A9</v>
          </cell>
          <cell r="B120" t="str">
            <v>YTMS</v>
          </cell>
        </row>
        <row r="121">
          <cell r="A121">
            <v>69</v>
          </cell>
          <cell r="B121" t="str">
            <v>YTMZ</v>
          </cell>
        </row>
        <row r="122">
          <cell r="A122">
            <v>9</v>
          </cell>
          <cell r="B122" t="str">
            <v>YTO</v>
          </cell>
        </row>
        <row r="123">
          <cell r="A123">
            <v>77</v>
          </cell>
          <cell r="B123" t="str">
            <v>YTS</v>
          </cell>
        </row>
        <row r="124">
          <cell r="A124" t="str">
            <v>J6</v>
          </cell>
          <cell r="B124" t="str">
            <v>YTZ</v>
          </cell>
        </row>
        <row r="125">
          <cell r="A125" t="str">
            <v>W1</v>
          </cell>
          <cell r="B125" t="str">
            <v>WB</v>
          </cell>
        </row>
        <row r="126">
          <cell r="A126" t="str">
            <v>W3</v>
          </cell>
          <cell r="B126" t="str">
            <v>CRB</v>
          </cell>
        </row>
        <row r="127">
          <cell r="A127" t="str">
            <v>W4</v>
          </cell>
          <cell r="B127" t="str">
            <v>CJG</v>
          </cell>
        </row>
        <row r="128">
          <cell r="A128" t="str">
            <v>Z9</v>
          </cell>
          <cell r="B128" t="str">
            <v>CBN</v>
          </cell>
        </row>
        <row r="129">
          <cell r="A129" t="str">
            <v>I2</v>
          </cell>
          <cell r="B129" t="str">
            <v>YTA</v>
          </cell>
        </row>
        <row r="130">
          <cell r="A130" t="str">
            <v>I7</v>
          </cell>
          <cell r="B130" t="str">
            <v>CKB</v>
          </cell>
        </row>
        <row r="131">
          <cell r="A131" t="str">
            <v>YC</v>
          </cell>
          <cell r="B131" t="str">
            <v>YCK</v>
          </cell>
        </row>
        <row r="132">
          <cell r="A132" t="str">
            <v>J9</v>
          </cell>
          <cell r="B132" t="str">
            <v>CRR</v>
          </cell>
        </row>
        <row r="133">
          <cell r="A133" t="str">
            <v>YD</v>
          </cell>
          <cell r="B133" t="str">
            <v>ATL</v>
          </cell>
        </row>
        <row r="134">
          <cell r="A134" t="str">
            <v>YE</v>
          </cell>
          <cell r="B134" t="str">
            <v>ATZ</v>
          </cell>
        </row>
        <row r="135">
          <cell r="A135" t="str">
            <v>I5</v>
          </cell>
          <cell r="B135" t="str">
            <v>BRR</v>
          </cell>
        </row>
        <row r="136">
          <cell r="A136" t="str">
            <v>T5</v>
          </cell>
          <cell r="B136" t="str">
            <v>CRT</v>
          </cell>
        </row>
        <row r="137">
          <cell r="A137" t="str">
            <v>T6</v>
          </cell>
          <cell r="B137" t="str">
            <v>CRU</v>
          </cell>
        </row>
        <row r="138">
          <cell r="A138" t="str">
            <v>T8</v>
          </cell>
          <cell r="B138" t="str">
            <v>ATF</v>
          </cell>
        </row>
        <row r="139">
          <cell r="A139" t="str">
            <v>T9</v>
          </cell>
          <cell r="B139" t="str">
            <v>YRSS</v>
          </cell>
        </row>
        <row r="140">
          <cell r="A140" t="str">
            <v>P4</v>
          </cell>
          <cell r="B140" t="str">
            <v>PKC</v>
          </cell>
        </row>
        <row r="141">
          <cell r="A141" t="str">
            <v>YK</v>
          </cell>
          <cell r="B141" t="str">
            <v>ASM</v>
          </cell>
        </row>
        <row r="142">
          <cell r="A142" t="str">
            <v>PK</v>
          </cell>
          <cell r="B142" t="str">
            <v>PKM</v>
          </cell>
        </row>
        <row r="143">
          <cell r="A143" t="str">
            <v>U1</v>
          </cell>
          <cell r="B143" t="str">
            <v>SEM</v>
          </cell>
        </row>
        <row r="144">
          <cell r="A144" t="str">
            <v>Y3</v>
          </cell>
          <cell r="B144" t="str">
            <v>YRT</v>
          </cell>
        </row>
        <row r="145">
          <cell r="A145" t="str">
            <v>U2</v>
          </cell>
          <cell r="B145" t="str">
            <v>CRW</v>
          </cell>
        </row>
      </sheetData>
      <sheetData sheetId="1"/>
      <sheetData sheetId="2">
        <row r="2">
          <cell r="B2">
            <v>10</v>
          </cell>
          <cell r="C2" t="str">
            <v>Ex-Maker</v>
          </cell>
        </row>
        <row r="3">
          <cell r="B3">
            <v>16</v>
          </cell>
          <cell r="C3" t="str">
            <v>Ex-Maker</v>
          </cell>
        </row>
        <row r="4">
          <cell r="B4">
            <v>19</v>
          </cell>
          <cell r="C4" t="str">
            <v>Ex-Maker</v>
          </cell>
        </row>
        <row r="5">
          <cell r="B5">
            <v>20</v>
          </cell>
          <cell r="C5" t="str">
            <v>Ex-Maker</v>
          </cell>
        </row>
        <row r="6">
          <cell r="B6">
            <v>24</v>
          </cell>
          <cell r="C6" t="str">
            <v>Ex-Maker</v>
          </cell>
        </row>
        <row r="7">
          <cell r="B7">
            <v>25</v>
          </cell>
          <cell r="C7" t="str">
            <v>Ex-Maker</v>
          </cell>
        </row>
        <row r="8">
          <cell r="B8">
            <v>26</v>
          </cell>
          <cell r="C8" t="str">
            <v>Ex-Maker</v>
          </cell>
        </row>
        <row r="9">
          <cell r="B9">
            <v>27</v>
          </cell>
          <cell r="C9" t="str">
            <v>Ex-Maker</v>
          </cell>
        </row>
        <row r="10">
          <cell r="B10">
            <v>28</v>
          </cell>
          <cell r="C10" t="str">
            <v>Ex-Maker</v>
          </cell>
        </row>
        <row r="11">
          <cell r="B11">
            <v>33</v>
          </cell>
          <cell r="C11" t="str">
            <v>Ex-Maker</v>
          </cell>
        </row>
        <row r="12">
          <cell r="B12">
            <v>34</v>
          </cell>
          <cell r="C12" t="str">
            <v>Ex-Maker</v>
          </cell>
        </row>
        <row r="13">
          <cell r="B13">
            <v>35</v>
          </cell>
          <cell r="C13" t="str">
            <v>Ex-Maker</v>
          </cell>
        </row>
        <row r="14">
          <cell r="B14">
            <v>36</v>
          </cell>
          <cell r="C14" t="str">
            <v>Ex-Maker</v>
          </cell>
        </row>
        <row r="15">
          <cell r="B15">
            <v>37</v>
          </cell>
          <cell r="C15" t="str">
            <v>Ex-Maker</v>
          </cell>
        </row>
        <row r="16">
          <cell r="B16">
            <v>38</v>
          </cell>
          <cell r="C16" t="str">
            <v>Ex-Maker</v>
          </cell>
        </row>
        <row r="17">
          <cell r="B17">
            <v>40</v>
          </cell>
          <cell r="C17" t="str">
            <v>Ex-Packer</v>
          </cell>
        </row>
        <row r="18">
          <cell r="B18">
            <v>41</v>
          </cell>
          <cell r="C18" t="str">
            <v>Ex-Packer</v>
          </cell>
        </row>
        <row r="19">
          <cell r="B19">
            <v>42</v>
          </cell>
          <cell r="C19" t="str">
            <v>Ex-Packer</v>
          </cell>
        </row>
        <row r="20">
          <cell r="B20">
            <v>43</v>
          </cell>
          <cell r="C20" t="str">
            <v>Ex-Packer</v>
          </cell>
        </row>
        <row r="21">
          <cell r="B21">
            <v>46</v>
          </cell>
          <cell r="C21" t="str">
            <v>Ex-Packer</v>
          </cell>
        </row>
        <row r="22">
          <cell r="B22">
            <v>47</v>
          </cell>
          <cell r="C22" t="str">
            <v>Ex-Packer</v>
          </cell>
        </row>
        <row r="23">
          <cell r="B23">
            <v>48</v>
          </cell>
          <cell r="C23" t="str">
            <v>Ex-Packer</v>
          </cell>
        </row>
        <row r="24">
          <cell r="B24">
            <v>49</v>
          </cell>
          <cell r="C24" t="str">
            <v>Ex-Packer</v>
          </cell>
        </row>
        <row r="25">
          <cell r="B25">
            <v>50</v>
          </cell>
          <cell r="C25" t="str">
            <v>Ex-Packer</v>
          </cell>
        </row>
        <row r="26">
          <cell r="B26">
            <v>51</v>
          </cell>
          <cell r="C26" t="str">
            <v>Ex-Packer</v>
          </cell>
        </row>
        <row r="27">
          <cell r="B27">
            <v>52</v>
          </cell>
          <cell r="C27" t="str">
            <v>Ex-Packer</v>
          </cell>
        </row>
        <row r="28">
          <cell r="B28">
            <v>54</v>
          </cell>
          <cell r="C28" t="str">
            <v>Ex-Packer</v>
          </cell>
        </row>
        <row r="29">
          <cell r="B29">
            <v>55</v>
          </cell>
          <cell r="C29" t="str">
            <v>Ex-Packer</v>
          </cell>
        </row>
        <row r="30">
          <cell r="B30">
            <v>56</v>
          </cell>
          <cell r="C30" t="str">
            <v>Ex-Packer</v>
          </cell>
        </row>
        <row r="31">
          <cell r="B31">
            <v>58</v>
          </cell>
          <cell r="C31" t="str">
            <v>Ex-Packer</v>
          </cell>
        </row>
        <row r="32">
          <cell r="B32">
            <v>62</v>
          </cell>
          <cell r="C32" t="str">
            <v>Ex-Packer</v>
          </cell>
        </row>
        <row r="33">
          <cell r="B33">
            <v>63</v>
          </cell>
          <cell r="C33" t="str">
            <v>Ex-Packer</v>
          </cell>
        </row>
        <row r="34">
          <cell r="B34">
            <v>64</v>
          </cell>
          <cell r="C34" t="str">
            <v>Ex-Packer</v>
          </cell>
        </row>
        <row r="35">
          <cell r="B35">
            <v>67</v>
          </cell>
          <cell r="C35" t="str">
            <v>Ex-Packer</v>
          </cell>
        </row>
        <row r="36">
          <cell r="B36">
            <v>69</v>
          </cell>
          <cell r="C36" t="str">
            <v>Ex-Packer</v>
          </cell>
        </row>
        <row r="37">
          <cell r="B37">
            <v>70</v>
          </cell>
          <cell r="C37" t="str">
            <v>Ex-Packer</v>
          </cell>
        </row>
        <row r="38">
          <cell r="B38">
            <v>73</v>
          </cell>
          <cell r="C38" t="str">
            <v>Ex-Packer</v>
          </cell>
        </row>
        <row r="39">
          <cell r="B39">
            <v>78</v>
          </cell>
          <cell r="C39" t="str">
            <v>Ex-Packer</v>
          </cell>
        </row>
        <row r="40">
          <cell r="B40">
            <v>86</v>
          </cell>
          <cell r="C40" t="str">
            <v>Ex-Packer</v>
          </cell>
        </row>
        <row r="41">
          <cell r="B41">
            <v>94</v>
          </cell>
          <cell r="C41" t="str">
            <v>Ex-Packer</v>
          </cell>
        </row>
        <row r="42">
          <cell r="B42">
            <v>76</v>
          </cell>
          <cell r="C42" t="str">
            <v>Ex-Packer</v>
          </cell>
        </row>
        <row r="43">
          <cell r="B43">
            <v>81</v>
          </cell>
          <cell r="C43" t="str">
            <v>Ex-Packer</v>
          </cell>
        </row>
        <row r="44">
          <cell r="B44">
            <v>95</v>
          </cell>
          <cell r="C44" t="str">
            <v>Ex-Packer</v>
          </cell>
        </row>
        <row r="45">
          <cell r="B45">
            <v>9</v>
          </cell>
          <cell r="C45" t="str">
            <v>Ex-Maker</v>
          </cell>
        </row>
        <row r="46">
          <cell r="B46">
            <v>60</v>
          </cell>
          <cell r="C46" t="str">
            <v>Ex-Packer</v>
          </cell>
        </row>
        <row r="47">
          <cell r="B47">
            <v>31</v>
          </cell>
          <cell r="C47" t="str">
            <v>Ex-Maker</v>
          </cell>
        </row>
        <row r="48">
          <cell r="B48">
            <v>79</v>
          </cell>
          <cell r="C48" t="str">
            <v>Ex-Packer</v>
          </cell>
        </row>
        <row r="49">
          <cell r="B49">
            <v>22</v>
          </cell>
          <cell r="C49" t="str">
            <v>Ex-Maker</v>
          </cell>
        </row>
        <row r="50">
          <cell r="B50">
            <v>96</v>
          </cell>
          <cell r="C50" t="str">
            <v>Ex-Packer</v>
          </cell>
        </row>
        <row r="51">
          <cell r="B51">
            <v>11</v>
          </cell>
          <cell r="C51" t="str">
            <v>Ex-Maker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C27E-B558-4916-A5CA-3115BACE2068}">
  <dimension ref="A1:I175"/>
  <sheetViews>
    <sheetView topLeftCell="A46" workbookViewId="0">
      <selection activeCell="I2" sqref="I2"/>
    </sheetView>
  </sheetViews>
  <sheetFormatPr defaultRowHeight="14.4" x14ac:dyDescent="0.3"/>
  <cols>
    <col min="1" max="1" width="10.44140625" bestFit="1" customWidth="1"/>
  </cols>
  <sheetData>
    <row r="1" spans="1:9" x14ac:dyDescent="0.3">
      <c r="A1" t="s">
        <v>17</v>
      </c>
      <c r="B1" t="s">
        <v>19</v>
      </c>
      <c r="C1" t="s">
        <v>18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 s="2">
        <v>46033</v>
      </c>
      <c r="B2" s="3" t="s">
        <v>8</v>
      </c>
      <c r="C2" s="3" t="s">
        <v>9</v>
      </c>
      <c r="D2" s="3" t="e">
        <f>IF(F2="","",#REF!)</f>
        <v>#REF!</v>
      </c>
      <c r="E2" s="3" t="e">
        <f>IF(F2="","",#REF!)</f>
        <v>#REF!</v>
      </c>
      <c r="F2" s="3">
        <v>26</v>
      </c>
      <c r="G2" s="4">
        <v>14.19</v>
      </c>
      <c r="H2" s="3" t="str">
        <f>IF(F2="","",VLOOKUP(F2,[2]Sheet1!$B$2:$C$67,2,FALSE))</f>
        <v>Ex-Maker</v>
      </c>
      <c r="I2" s="3" t="e">
        <f>IF(D2="","",VLOOKUP(D2,[2]Sheet4!$A$1:$B$150,2,FALSE))</f>
        <v>#REF!</v>
      </c>
    </row>
    <row r="3" spans="1:9" x14ac:dyDescent="0.3">
      <c r="A3" s="5">
        <f t="shared" ref="A3:A5" si="0">IF(F3="","",A2)</f>
        <v>46033</v>
      </c>
      <c r="B3" s="6" t="str">
        <f t="shared" ref="B3:B5" si="1">IF(F3="","",B2)</f>
        <v>L</v>
      </c>
      <c r="C3" s="6" t="str">
        <f t="shared" ref="C3:C5" si="2">IF(F3="","",C2)</f>
        <v>EARLY</v>
      </c>
      <c r="D3" s="6" t="e">
        <f t="shared" ref="D3:D24" si="3">IF(F3="","",D2)</f>
        <v>#REF!</v>
      </c>
      <c r="E3" s="6" t="e">
        <f t="shared" ref="E3:E24" si="4">IF(F3="","",E2)</f>
        <v>#REF!</v>
      </c>
      <c r="F3" s="6">
        <v>73</v>
      </c>
      <c r="G3" s="7">
        <v>14.35</v>
      </c>
      <c r="H3" s="6" t="str">
        <f>IF(F3="","",VLOOKUP(F3,[2]Sheet1!$B$2:$C$67,2,FALSE))</f>
        <v>Ex-Packer</v>
      </c>
      <c r="I3" s="6" t="e">
        <f>IF(D3="","",VLOOKUP(D3,[2]Sheet4!$A$1:$B$150,2,FALSE))</f>
        <v>#REF!</v>
      </c>
    </row>
    <row r="4" spans="1:9" x14ac:dyDescent="0.3">
      <c r="A4" s="2">
        <f t="shared" si="0"/>
        <v>46033</v>
      </c>
      <c r="B4" s="3" t="str">
        <f t="shared" si="1"/>
        <v>L</v>
      </c>
      <c r="C4" s="3" t="str">
        <f t="shared" si="2"/>
        <v>EARLY</v>
      </c>
      <c r="D4" s="3" t="e">
        <f t="shared" si="3"/>
        <v>#REF!</v>
      </c>
      <c r="E4" s="3" t="e">
        <f t="shared" si="4"/>
        <v>#REF!</v>
      </c>
      <c r="F4" s="3">
        <v>94</v>
      </c>
      <c r="G4" s="4">
        <v>14.93</v>
      </c>
      <c r="H4" s="3" t="str">
        <f>IF(F4="","",VLOOKUP(F4,[2]Sheet1!$B$2:$C$67,2,FALSE))</f>
        <v>Ex-Packer</v>
      </c>
      <c r="I4" s="3" t="e">
        <f>IF(D4="","",VLOOKUP(D4,[2]Sheet4!$A$1:$B$150,2,FALSE))</f>
        <v>#REF!</v>
      </c>
    </row>
    <row r="5" spans="1:9" x14ac:dyDescent="0.3">
      <c r="A5" s="5">
        <f t="shared" si="0"/>
        <v>46033</v>
      </c>
      <c r="B5" s="6" t="str">
        <f t="shared" si="1"/>
        <v>L</v>
      </c>
      <c r="C5" s="6" t="str">
        <f t="shared" si="2"/>
        <v>EARLY</v>
      </c>
      <c r="D5" s="6" t="s">
        <v>1</v>
      </c>
      <c r="E5" s="6">
        <v>9</v>
      </c>
      <c r="F5" s="6">
        <v>9</v>
      </c>
      <c r="G5" s="7">
        <v>15.11</v>
      </c>
      <c r="H5" s="6" t="str">
        <f>IF(F5="","",VLOOKUP(F5,[2]Sheet1!$B$2:$C$67,2,FALSE))</f>
        <v>Ex-Maker</v>
      </c>
      <c r="I5" s="6" t="str">
        <f>IF(D5="","",VLOOKUP(D5,[2]Sheet4!$A$1:$B$150,2,FALSE))</f>
        <v>YTZ</v>
      </c>
    </row>
    <row r="6" spans="1:9" x14ac:dyDescent="0.3">
      <c r="A6" s="2">
        <f t="shared" ref="A6:A24" si="5">IF(F6="","",A5)</f>
        <v>46033</v>
      </c>
      <c r="B6" s="3" t="str">
        <f t="shared" ref="B6:B8" si="6">IF(F6="","",B5)</f>
        <v>L</v>
      </c>
      <c r="C6" s="3" t="str">
        <f t="shared" ref="C6:C24" si="7">IF(F6="","",C5)</f>
        <v>EARLY</v>
      </c>
      <c r="D6" s="3" t="str">
        <f t="shared" si="3"/>
        <v>J6</v>
      </c>
      <c r="E6" s="3">
        <f t="shared" si="4"/>
        <v>9</v>
      </c>
      <c r="F6" s="3">
        <v>11</v>
      </c>
      <c r="G6" s="4">
        <v>14.83</v>
      </c>
      <c r="H6" s="3" t="str">
        <f>IF(F6="","",VLOOKUP(F6,[2]Sheet1!$B$2:$C$67,2,FALSE))</f>
        <v>Ex-Maker</v>
      </c>
      <c r="I6" s="3" t="str">
        <f>IF(D6="","",VLOOKUP(D6,[2]Sheet4!$A$1:$B$150,2,FALSE))</f>
        <v>YTZ</v>
      </c>
    </row>
    <row r="7" spans="1:9" x14ac:dyDescent="0.3">
      <c r="A7" s="5">
        <f t="shared" si="5"/>
        <v>46033</v>
      </c>
      <c r="B7" s="6" t="str">
        <f t="shared" si="6"/>
        <v>L</v>
      </c>
      <c r="C7" s="6" t="str">
        <f t="shared" si="7"/>
        <v>EARLY</v>
      </c>
      <c r="D7" s="6" t="str">
        <f t="shared" si="3"/>
        <v>J6</v>
      </c>
      <c r="E7" s="6">
        <f t="shared" si="4"/>
        <v>9</v>
      </c>
      <c r="F7" s="6">
        <v>81</v>
      </c>
      <c r="G7" s="7">
        <v>14.82</v>
      </c>
      <c r="H7" s="6" t="str">
        <f>IF(F7="","",VLOOKUP(F7,[2]Sheet1!$B$2:$C$67,2,FALSE))</f>
        <v>Ex-Packer</v>
      </c>
      <c r="I7" s="6" t="str">
        <f>IF(D7="","",VLOOKUP(D7,[2]Sheet4!$A$1:$B$150,2,FALSE))</f>
        <v>YTZ</v>
      </c>
    </row>
    <row r="8" spans="1:9" x14ac:dyDescent="0.3">
      <c r="A8" s="2">
        <f t="shared" si="5"/>
        <v>46033</v>
      </c>
      <c r="B8" s="3" t="str">
        <f t="shared" si="6"/>
        <v>L</v>
      </c>
      <c r="C8" s="3" t="str">
        <f t="shared" si="7"/>
        <v>EARLY</v>
      </c>
      <c r="D8" s="3" t="str">
        <f t="shared" si="3"/>
        <v>J6</v>
      </c>
      <c r="E8" s="3">
        <f t="shared" si="4"/>
        <v>9</v>
      </c>
      <c r="F8" s="3">
        <v>95</v>
      </c>
      <c r="G8" s="4">
        <v>14.67</v>
      </c>
      <c r="H8" s="3" t="str">
        <f>IF(F8="","",VLOOKUP(F8,[2]Sheet1!$B$2:$C$67,2,FALSE))</f>
        <v>Ex-Packer</v>
      </c>
      <c r="I8" s="3" t="str">
        <f>IF(D8="","",VLOOKUP(D8,[2]Sheet4!$A$1:$B$150,2,FALSE))</f>
        <v>YTZ</v>
      </c>
    </row>
    <row r="9" spans="1:9" x14ac:dyDescent="0.3">
      <c r="A9" s="5">
        <f t="shared" si="5"/>
        <v>46033</v>
      </c>
      <c r="B9" s="6" t="s">
        <v>5</v>
      </c>
      <c r="C9" s="6" t="s">
        <v>10</v>
      </c>
      <c r="D9" s="6" t="str">
        <f t="shared" si="3"/>
        <v>J6</v>
      </c>
      <c r="E9" s="6">
        <f t="shared" si="4"/>
        <v>9</v>
      </c>
      <c r="F9" s="6">
        <v>9</v>
      </c>
      <c r="G9" s="7">
        <v>14.9</v>
      </c>
      <c r="H9" s="6" t="str">
        <f>IF(F9="","",VLOOKUP(F9,[2]Sheet1!$B$2:$C$67,2,FALSE))</f>
        <v>Ex-Maker</v>
      </c>
      <c r="I9" s="6" t="str">
        <f>IF(D9="","",VLOOKUP(D9,[2]Sheet4!$A$1:$B$150,2,FALSE))</f>
        <v>YTZ</v>
      </c>
    </row>
    <row r="10" spans="1:9" x14ac:dyDescent="0.3">
      <c r="A10" s="2">
        <f t="shared" si="5"/>
        <v>46033</v>
      </c>
      <c r="B10" s="3" t="str">
        <f t="shared" ref="B10:B24" si="8">IF(F10="","",B9)</f>
        <v>D</v>
      </c>
      <c r="C10" s="3" t="str">
        <f t="shared" si="7"/>
        <v>LATE</v>
      </c>
      <c r="D10" s="3" t="str">
        <f t="shared" si="3"/>
        <v>J6</v>
      </c>
      <c r="E10" s="3">
        <f t="shared" si="4"/>
        <v>9</v>
      </c>
      <c r="F10" s="3">
        <v>11</v>
      </c>
      <c r="G10" s="4">
        <v>14.57</v>
      </c>
      <c r="H10" s="3" t="str">
        <f>IF(F10="","",VLOOKUP(F10,[2]Sheet1!$B$2:$C$67,2,FALSE))</f>
        <v>Ex-Maker</v>
      </c>
      <c r="I10" s="3" t="str">
        <f>IF(D10="","",VLOOKUP(D10,[2]Sheet4!$A$1:$B$150,2,FALSE))</f>
        <v>YTZ</v>
      </c>
    </row>
    <row r="11" spans="1:9" x14ac:dyDescent="0.3">
      <c r="A11" s="5">
        <f t="shared" si="5"/>
        <v>46033</v>
      </c>
      <c r="B11" s="6" t="str">
        <f t="shared" si="8"/>
        <v>D</v>
      </c>
      <c r="C11" s="6" t="str">
        <f t="shared" si="7"/>
        <v>LATE</v>
      </c>
      <c r="D11" s="6" t="str">
        <f t="shared" si="3"/>
        <v>J6</v>
      </c>
      <c r="E11" s="6">
        <f t="shared" si="4"/>
        <v>9</v>
      </c>
      <c r="F11" s="6">
        <v>81</v>
      </c>
      <c r="G11" s="7">
        <v>15.3</v>
      </c>
      <c r="H11" s="6" t="str">
        <f>IF(F11="","",VLOOKUP(F11,[2]Sheet1!$B$2:$C$67,2,FALSE))</f>
        <v>Ex-Packer</v>
      </c>
      <c r="I11" s="6" t="str">
        <f>IF(D11="","",VLOOKUP(D11,[2]Sheet4!$A$1:$B$150,2,FALSE))</f>
        <v>YTZ</v>
      </c>
    </row>
    <row r="12" spans="1:9" x14ac:dyDescent="0.3">
      <c r="A12" s="2">
        <f t="shared" si="5"/>
        <v>46033</v>
      </c>
      <c r="B12" s="3" t="str">
        <f t="shared" si="8"/>
        <v>D</v>
      </c>
      <c r="C12" s="3" t="str">
        <f t="shared" si="7"/>
        <v>LATE</v>
      </c>
      <c r="D12" s="3" t="str">
        <f t="shared" si="3"/>
        <v>J6</v>
      </c>
      <c r="E12" s="3">
        <f t="shared" si="4"/>
        <v>9</v>
      </c>
      <c r="F12" s="3">
        <v>95</v>
      </c>
      <c r="G12" s="4">
        <v>15.15</v>
      </c>
      <c r="H12" s="3" t="str">
        <f>IF(F12="","",VLOOKUP(F12,[2]Sheet1!$B$2:$C$67,2,FALSE))</f>
        <v>Ex-Packer</v>
      </c>
      <c r="I12" s="3" t="str">
        <f>IF(D12="","",VLOOKUP(D12,[2]Sheet4!$A$1:$B$150,2,FALSE))</f>
        <v>YTZ</v>
      </c>
    </row>
    <row r="13" spans="1:9" x14ac:dyDescent="0.3">
      <c r="A13" s="5">
        <f t="shared" si="5"/>
        <v>46033</v>
      </c>
      <c r="B13" s="6" t="str">
        <f t="shared" si="8"/>
        <v>D</v>
      </c>
      <c r="C13" s="6" t="str">
        <f t="shared" si="7"/>
        <v>LATE</v>
      </c>
      <c r="D13" s="6" t="s">
        <v>7</v>
      </c>
      <c r="E13" s="6">
        <v>3</v>
      </c>
      <c r="F13" s="6">
        <v>20</v>
      </c>
      <c r="G13" s="7">
        <v>14.68</v>
      </c>
      <c r="H13" s="6" t="str">
        <f>IF(F13="","",VLOOKUP(F13,[2]Sheet1!$B$2:$C$67,2,FALSE))</f>
        <v>Ex-Maker</v>
      </c>
      <c r="I13" s="6" t="str">
        <f>IF(D13="","",VLOOKUP(D13,[2]Sheet4!$A$1:$B$150,2,FALSE))</f>
        <v>ATL</v>
      </c>
    </row>
    <row r="14" spans="1:9" x14ac:dyDescent="0.3">
      <c r="A14" s="2">
        <f t="shared" si="5"/>
        <v>46033</v>
      </c>
      <c r="B14" s="3" t="str">
        <f t="shared" si="8"/>
        <v>D</v>
      </c>
      <c r="C14" s="3" t="str">
        <f t="shared" si="7"/>
        <v>LATE</v>
      </c>
      <c r="D14" s="3" t="str">
        <f t="shared" si="3"/>
        <v>YD</v>
      </c>
      <c r="E14" s="3">
        <f t="shared" si="4"/>
        <v>3</v>
      </c>
      <c r="F14" s="3">
        <v>26</v>
      </c>
      <c r="G14" s="4">
        <v>14.74</v>
      </c>
      <c r="H14" s="3" t="str">
        <f>IF(F14="","",VLOOKUP(F14,[2]Sheet1!$B$2:$C$67,2,FALSE))</f>
        <v>Ex-Maker</v>
      </c>
      <c r="I14" s="3" t="str">
        <f>IF(D14="","",VLOOKUP(D14,[2]Sheet4!$A$1:$B$150,2,FALSE))</f>
        <v>ATL</v>
      </c>
    </row>
    <row r="15" spans="1:9" x14ac:dyDescent="0.3">
      <c r="A15" s="5">
        <f t="shared" si="5"/>
        <v>46033</v>
      </c>
      <c r="B15" s="6" t="str">
        <f t="shared" si="8"/>
        <v>D</v>
      </c>
      <c r="C15" s="6" t="str">
        <f t="shared" si="7"/>
        <v>LATE</v>
      </c>
      <c r="D15" s="6" t="str">
        <f t="shared" si="3"/>
        <v>YD</v>
      </c>
      <c r="E15" s="6">
        <f t="shared" si="4"/>
        <v>3</v>
      </c>
      <c r="F15" s="6">
        <v>73</v>
      </c>
      <c r="G15" s="7">
        <v>15</v>
      </c>
      <c r="H15" s="6" t="str">
        <f>IF(F15="","",VLOOKUP(F15,[2]Sheet1!$B$2:$C$67,2,FALSE))</f>
        <v>Ex-Packer</v>
      </c>
      <c r="I15" s="6" t="str">
        <f>IF(D15="","",VLOOKUP(D15,[2]Sheet4!$A$1:$B$150,2,FALSE))</f>
        <v>ATL</v>
      </c>
    </row>
    <row r="16" spans="1:9" x14ac:dyDescent="0.3">
      <c r="A16" s="2">
        <f t="shared" si="5"/>
        <v>46033</v>
      </c>
      <c r="B16" s="3" t="str">
        <f t="shared" si="8"/>
        <v>D</v>
      </c>
      <c r="C16" s="3" t="str">
        <f t="shared" si="7"/>
        <v>LATE</v>
      </c>
      <c r="D16" s="3" t="str">
        <f t="shared" si="3"/>
        <v>YD</v>
      </c>
      <c r="E16" s="3">
        <f t="shared" si="4"/>
        <v>3</v>
      </c>
      <c r="F16" s="3">
        <v>94</v>
      </c>
      <c r="G16" s="4">
        <v>14.74</v>
      </c>
      <c r="H16" s="3" t="str">
        <f>IF(F16="","",VLOOKUP(F16,[2]Sheet1!$B$2:$C$67,2,FALSE))</f>
        <v>Ex-Packer</v>
      </c>
      <c r="I16" s="3" t="str">
        <f>IF(D16="","",VLOOKUP(D16,[2]Sheet4!$A$1:$B$150,2,FALSE))</f>
        <v>ATL</v>
      </c>
    </row>
    <row r="17" spans="1:9" x14ac:dyDescent="0.3">
      <c r="A17" s="5">
        <f t="shared" si="5"/>
        <v>46033</v>
      </c>
      <c r="B17" s="6" t="s">
        <v>11</v>
      </c>
      <c r="C17" s="6" t="s">
        <v>6</v>
      </c>
      <c r="D17" s="6" t="str">
        <f t="shared" si="3"/>
        <v>YD</v>
      </c>
      <c r="E17" s="6">
        <f t="shared" si="4"/>
        <v>3</v>
      </c>
      <c r="F17" s="6">
        <v>20</v>
      </c>
      <c r="G17" s="7">
        <v>14.97</v>
      </c>
      <c r="H17" s="6" t="str">
        <f>IF(F17="","",VLOOKUP(F17,[2]Sheet1!$B$2:$C$67,2,FALSE))</f>
        <v>Ex-Maker</v>
      </c>
      <c r="I17" s="6" t="str">
        <f>IF(D17="","",VLOOKUP(D17,[2]Sheet4!$A$1:$B$150,2,FALSE))</f>
        <v>ATL</v>
      </c>
    </row>
    <row r="18" spans="1:9" x14ac:dyDescent="0.3">
      <c r="A18" s="2">
        <f t="shared" si="5"/>
        <v>46033</v>
      </c>
      <c r="B18" s="3" t="str">
        <f t="shared" si="8"/>
        <v>C</v>
      </c>
      <c r="C18" s="3" t="str">
        <f t="shared" si="7"/>
        <v>NIGHT</v>
      </c>
      <c r="D18" s="3" t="str">
        <f t="shared" si="3"/>
        <v>YD</v>
      </c>
      <c r="E18" s="3">
        <f t="shared" si="4"/>
        <v>3</v>
      </c>
      <c r="F18" s="3">
        <v>26</v>
      </c>
      <c r="G18" s="4">
        <v>14.66</v>
      </c>
      <c r="H18" s="3" t="str">
        <f>IF(F18="","",VLOOKUP(F18,[2]Sheet1!$B$2:$C$67,2,FALSE))</f>
        <v>Ex-Maker</v>
      </c>
      <c r="I18" s="3" t="str">
        <f>IF(D18="","",VLOOKUP(D18,[2]Sheet4!$A$1:$B$150,2,FALSE))</f>
        <v>ATL</v>
      </c>
    </row>
    <row r="19" spans="1:9" x14ac:dyDescent="0.3">
      <c r="A19" s="5">
        <f t="shared" si="5"/>
        <v>46033</v>
      </c>
      <c r="B19" s="6" t="str">
        <f t="shared" si="8"/>
        <v>C</v>
      </c>
      <c r="C19" s="6" t="str">
        <f t="shared" si="7"/>
        <v>NIGHT</v>
      </c>
      <c r="D19" s="6" t="str">
        <f t="shared" si="3"/>
        <v>YD</v>
      </c>
      <c r="E19" s="6">
        <f t="shared" si="4"/>
        <v>3</v>
      </c>
      <c r="F19" s="6">
        <v>73</v>
      </c>
      <c r="G19" s="7">
        <v>14.87</v>
      </c>
      <c r="H19" s="6" t="str">
        <f>IF(F19="","",VLOOKUP(F19,[2]Sheet1!$B$2:$C$67,2,FALSE))</f>
        <v>Ex-Packer</v>
      </c>
      <c r="I19" s="6" t="str">
        <f>IF(D19="","",VLOOKUP(D19,[2]Sheet4!$A$1:$B$150,2,FALSE))</f>
        <v>ATL</v>
      </c>
    </row>
    <row r="20" spans="1:9" x14ac:dyDescent="0.3">
      <c r="A20" s="2">
        <f t="shared" si="5"/>
        <v>46033</v>
      </c>
      <c r="B20" s="3" t="str">
        <f t="shared" si="8"/>
        <v>C</v>
      </c>
      <c r="C20" s="3" t="str">
        <f t="shared" si="7"/>
        <v>NIGHT</v>
      </c>
      <c r="D20" s="3" t="str">
        <f t="shared" si="3"/>
        <v>YD</v>
      </c>
      <c r="E20" s="3">
        <f t="shared" si="4"/>
        <v>3</v>
      </c>
      <c r="F20" s="3">
        <v>94</v>
      </c>
      <c r="G20" s="4">
        <v>14.5</v>
      </c>
      <c r="H20" s="3" t="str">
        <f>IF(F20="","",VLOOKUP(F20,[2]Sheet1!$B$2:$C$67,2,FALSE))</f>
        <v>Ex-Packer</v>
      </c>
      <c r="I20" s="3" t="str">
        <f>IF(D20="","",VLOOKUP(D20,[2]Sheet4!$A$1:$B$150,2,FALSE))</f>
        <v>ATL</v>
      </c>
    </row>
    <row r="21" spans="1:9" x14ac:dyDescent="0.3">
      <c r="A21" s="5">
        <f t="shared" si="5"/>
        <v>46033</v>
      </c>
      <c r="B21" s="6" t="str">
        <f t="shared" si="8"/>
        <v>C</v>
      </c>
      <c r="C21" s="6" t="str">
        <f t="shared" si="7"/>
        <v>NIGHT</v>
      </c>
      <c r="D21" s="6" t="s">
        <v>1</v>
      </c>
      <c r="E21" s="6">
        <v>9</v>
      </c>
      <c r="F21" s="6">
        <v>9</v>
      </c>
      <c r="G21" s="7">
        <v>15.02</v>
      </c>
      <c r="H21" s="6" t="str">
        <f>IF(F21="","",VLOOKUP(F21,[2]Sheet1!$B$2:$C$67,2,FALSE))</f>
        <v>Ex-Maker</v>
      </c>
      <c r="I21" s="6" t="str">
        <f>IF(D21="","",VLOOKUP(D21,[2]Sheet4!$A$1:$B$150,2,FALSE))</f>
        <v>YTZ</v>
      </c>
    </row>
    <row r="22" spans="1:9" x14ac:dyDescent="0.3">
      <c r="A22" s="2">
        <f t="shared" si="5"/>
        <v>46033</v>
      </c>
      <c r="B22" s="3" t="str">
        <f t="shared" si="8"/>
        <v>C</v>
      </c>
      <c r="C22" s="3" t="str">
        <f t="shared" si="7"/>
        <v>NIGHT</v>
      </c>
      <c r="D22" s="3" t="str">
        <f t="shared" si="3"/>
        <v>J6</v>
      </c>
      <c r="E22" s="3">
        <f t="shared" si="4"/>
        <v>9</v>
      </c>
      <c r="F22" s="3">
        <v>11</v>
      </c>
      <c r="G22" s="4">
        <v>15.25</v>
      </c>
      <c r="H22" s="3" t="str">
        <f>IF(F22="","",VLOOKUP(F22,[2]Sheet1!$B$2:$C$67,2,FALSE))</f>
        <v>Ex-Maker</v>
      </c>
      <c r="I22" s="3" t="str">
        <f>IF(D22="","",VLOOKUP(D22,[2]Sheet4!$A$1:$B$150,2,FALSE))</f>
        <v>YTZ</v>
      </c>
    </row>
    <row r="23" spans="1:9" x14ac:dyDescent="0.3">
      <c r="A23" s="5">
        <f t="shared" si="5"/>
        <v>46033</v>
      </c>
      <c r="B23" s="6" t="str">
        <f t="shared" si="8"/>
        <v>C</v>
      </c>
      <c r="C23" s="6" t="str">
        <f t="shared" si="7"/>
        <v>NIGHT</v>
      </c>
      <c r="D23" s="6" t="str">
        <f t="shared" si="3"/>
        <v>J6</v>
      </c>
      <c r="E23" s="6">
        <f t="shared" si="4"/>
        <v>9</v>
      </c>
      <c r="F23" s="6">
        <v>81</v>
      </c>
      <c r="G23" s="7">
        <v>15.05</v>
      </c>
      <c r="H23" s="6" t="str">
        <f>IF(F23="","",VLOOKUP(F23,[2]Sheet1!$B$2:$C$67,2,FALSE))</f>
        <v>Ex-Packer</v>
      </c>
      <c r="I23" s="6" t="str">
        <f>IF(D23="","",VLOOKUP(D23,[2]Sheet4!$A$1:$B$150,2,FALSE))</f>
        <v>YTZ</v>
      </c>
    </row>
    <row r="24" spans="1:9" x14ac:dyDescent="0.3">
      <c r="A24" s="8">
        <f t="shared" si="5"/>
        <v>46033</v>
      </c>
      <c r="B24" s="9" t="str">
        <f t="shared" si="8"/>
        <v>C</v>
      </c>
      <c r="C24" s="9" t="str">
        <f t="shared" si="7"/>
        <v>NIGHT</v>
      </c>
      <c r="D24" s="9" t="str">
        <f t="shared" si="3"/>
        <v>J6</v>
      </c>
      <c r="E24" s="9">
        <f t="shared" si="4"/>
        <v>9</v>
      </c>
      <c r="F24" s="9">
        <v>95</v>
      </c>
      <c r="G24" s="10">
        <v>15.16</v>
      </c>
      <c r="H24" s="9" t="str">
        <f>IF(F24="","",VLOOKUP(F24,[2]Sheet1!$B$2:$C$67,2,FALSE))</f>
        <v>Ex-Packer</v>
      </c>
      <c r="I24" s="9" t="str">
        <f>IF(D24="","",VLOOKUP(D24,[2]Sheet4!$A$1:$B$150,2,FALSE))</f>
        <v>YTZ</v>
      </c>
    </row>
    <row r="25" spans="1:9" x14ac:dyDescent="0.3">
      <c r="A25" s="5">
        <v>46034</v>
      </c>
      <c r="B25" s="6" t="s">
        <v>8</v>
      </c>
      <c r="C25" s="6" t="s">
        <v>10</v>
      </c>
      <c r="D25" s="6" t="s">
        <v>12</v>
      </c>
      <c r="E25" s="6">
        <v>19</v>
      </c>
      <c r="F25" s="6">
        <v>31</v>
      </c>
      <c r="G25" s="7">
        <v>12.727561837455855</v>
      </c>
      <c r="H25" s="6" t="str">
        <f>IF(F25="","",VLOOKUP(F25,[2]Sheet1!$B$2:$C$67,2,FALSE))</f>
        <v>Ex-Maker</v>
      </c>
      <c r="I25" s="6" t="str">
        <f>IF(D25="","",VLOOKUP(D25,[2]Sheet4!$A$1:$B$150,2,FALSE))</f>
        <v>PKC</v>
      </c>
    </row>
    <row r="26" spans="1:9" x14ac:dyDescent="0.3">
      <c r="A26" s="2">
        <f t="shared" ref="A26:A89" si="9">IF(F26="","",A25)</f>
        <v>46034</v>
      </c>
      <c r="B26" s="3" t="str">
        <f t="shared" ref="B26:B89" si="10">IF(F26="","",B25)</f>
        <v>L</v>
      </c>
      <c r="C26" s="3" t="s">
        <v>10</v>
      </c>
      <c r="D26" s="3" t="s">
        <v>12</v>
      </c>
      <c r="E26" s="3">
        <v>19</v>
      </c>
      <c r="F26" s="3">
        <v>31</v>
      </c>
      <c r="G26" s="4">
        <v>13.828301886792435</v>
      </c>
      <c r="H26" s="3" t="str">
        <f>IF(F26="","",VLOOKUP(F26,[2]Sheet1!$B$2:$C$67,2,FALSE))</f>
        <v>Ex-Maker</v>
      </c>
      <c r="I26" s="3" t="str">
        <f>IF(D26="","",VLOOKUP(D26,[2]Sheet4!$A$1:$B$150,2,FALSE))</f>
        <v>PKC</v>
      </c>
    </row>
    <row r="27" spans="1:9" x14ac:dyDescent="0.3">
      <c r="A27" s="5">
        <f t="shared" si="9"/>
        <v>46034</v>
      </c>
      <c r="B27" s="6" t="str">
        <f t="shared" si="10"/>
        <v>L</v>
      </c>
      <c r="C27" s="6" t="s">
        <v>10</v>
      </c>
      <c r="D27" s="6" t="s">
        <v>12</v>
      </c>
      <c r="E27" s="6">
        <v>19</v>
      </c>
      <c r="F27" s="6">
        <v>31</v>
      </c>
      <c r="G27" s="7">
        <v>15.539316239316268</v>
      </c>
      <c r="H27" s="6" t="str">
        <f>IF(F27="","",VLOOKUP(F27,[2]Sheet1!$B$2:$C$67,2,FALSE))</f>
        <v>Ex-Maker</v>
      </c>
      <c r="I27" s="6" t="str">
        <f>IF(D27="","",VLOOKUP(D27,[2]Sheet4!$A$1:$B$150,2,FALSE))</f>
        <v>PKC</v>
      </c>
    </row>
    <row r="28" spans="1:9" x14ac:dyDescent="0.3">
      <c r="A28" s="2">
        <f t="shared" si="9"/>
        <v>46034</v>
      </c>
      <c r="B28" s="3" t="str">
        <f t="shared" si="10"/>
        <v>L</v>
      </c>
      <c r="C28" s="3" t="s">
        <v>6</v>
      </c>
      <c r="D28" s="3" t="s">
        <v>12</v>
      </c>
      <c r="E28" s="3">
        <v>19</v>
      </c>
      <c r="F28" s="3">
        <v>31</v>
      </c>
      <c r="G28" s="4">
        <v>13.150174216027839</v>
      </c>
      <c r="H28" s="3" t="str">
        <f>IF(F28="","",VLOOKUP(F28,[2]Sheet1!$B$2:$C$67,2,FALSE))</f>
        <v>Ex-Maker</v>
      </c>
      <c r="I28" s="3" t="str">
        <f>IF(D28="","",VLOOKUP(D28,[2]Sheet4!$A$1:$B$150,2,FALSE))</f>
        <v>PKC</v>
      </c>
    </row>
    <row r="29" spans="1:9" x14ac:dyDescent="0.3">
      <c r="A29" s="5">
        <f t="shared" si="9"/>
        <v>46034</v>
      </c>
      <c r="B29" s="6" t="str">
        <f t="shared" si="10"/>
        <v>L</v>
      </c>
      <c r="C29" s="6" t="s">
        <v>6</v>
      </c>
      <c r="D29" s="6" t="s">
        <v>12</v>
      </c>
      <c r="E29" s="6">
        <v>19</v>
      </c>
      <c r="F29" s="6">
        <v>31</v>
      </c>
      <c r="G29" s="7">
        <v>13.808723599632732</v>
      </c>
      <c r="H29" s="6" t="str">
        <f>IF(F29="","",VLOOKUP(F29,[2]Sheet1!$B$2:$C$67,2,FALSE))</f>
        <v>Ex-Maker</v>
      </c>
      <c r="I29" s="6" t="str">
        <f>IF(D29="","",VLOOKUP(D29,[2]Sheet4!$A$1:$B$150,2,FALSE))</f>
        <v>PKC</v>
      </c>
    </row>
    <row r="30" spans="1:9" x14ac:dyDescent="0.3">
      <c r="A30" s="2">
        <f t="shared" si="9"/>
        <v>46034</v>
      </c>
      <c r="B30" s="3" t="s">
        <v>8</v>
      </c>
      <c r="C30" s="3" t="s">
        <v>9</v>
      </c>
      <c r="D30" s="3">
        <v>87</v>
      </c>
      <c r="E30" s="3">
        <v>9</v>
      </c>
      <c r="F30" s="3">
        <v>27</v>
      </c>
      <c r="G30" s="4">
        <v>14.74</v>
      </c>
      <c r="H30" s="3" t="str">
        <f>IF(F30="","",VLOOKUP(F30,[2]Sheet1!$B$2:$C$67,2,FALSE))</f>
        <v>Ex-Maker</v>
      </c>
      <c r="I30" s="3" t="str">
        <f>IF(D30="","",VLOOKUP(D30,[2]Sheet4!$A$1:$B$150,2,FALSE))</f>
        <v>WFP</v>
      </c>
    </row>
    <row r="31" spans="1:9" x14ac:dyDescent="0.3">
      <c r="A31" s="5">
        <f t="shared" si="9"/>
        <v>46034</v>
      </c>
      <c r="B31" s="6" t="str">
        <f t="shared" si="10"/>
        <v>L</v>
      </c>
      <c r="C31" s="6" t="str">
        <f t="shared" ref="C31:C94" si="11">IF(F31="","",C30)</f>
        <v>EARLY</v>
      </c>
      <c r="D31" s="6">
        <f t="shared" ref="D31:D35" si="12">IF(F31="","",D30)</f>
        <v>87</v>
      </c>
      <c r="E31" s="6">
        <f t="shared" ref="E31:E35" si="13">IF(F31="","",E30)</f>
        <v>9</v>
      </c>
      <c r="F31" s="6">
        <v>33</v>
      </c>
      <c r="G31" s="7">
        <v>14.11</v>
      </c>
      <c r="H31" s="6" t="str">
        <f>IF(F31="","",VLOOKUP(F31,[2]Sheet1!$B$2:$C$67,2,FALSE))</f>
        <v>Ex-Maker</v>
      </c>
      <c r="I31" s="6" t="str">
        <f>IF(D31="","",VLOOKUP(D31,[2]Sheet4!$A$1:$B$150,2,FALSE))</f>
        <v>WFP</v>
      </c>
    </row>
    <row r="32" spans="1:9" x14ac:dyDescent="0.3">
      <c r="A32" s="2">
        <f t="shared" si="9"/>
        <v>46034</v>
      </c>
      <c r="B32" s="3" t="str">
        <f t="shared" si="10"/>
        <v>L</v>
      </c>
      <c r="C32" s="3" t="str">
        <f t="shared" si="11"/>
        <v>EARLY</v>
      </c>
      <c r="D32" s="3">
        <f t="shared" si="12"/>
        <v>87</v>
      </c>
      <c r="E32" s="3">
        <f t="shared" si="13"/>
        <v>9</v>
      </c>
      <c r="F32" s="3">
        <v>40</v>
      </c>
      <c r="G32" s="4">
        <v>14.8</v>
      </c>
      <c r="H32" s="3" t="str">
        <f>IF(F32="","",VLOOKUP(F32,[2]Sheet1!$B$2:$C$67,2,FALSE))</f>
        <v>Ex-Packer</v>
      </c>
      <c r="I32" s="3" t="str">
        <f>IF(D32="","",VLOOKUP(D32,[2]Sheet4!$A$1:$B$150,2,FALSE))</f>
        <v>WFP</v>
      </c>
    </row>
    <row r="33" spans="1:9" x14ac:dyDescent="0.3">
      <c r="A33" s="5">
        <f t="shared" si="9"/>
        <v>46034</v>
      </c>
      <c r="B33" s="6" t="str">
        <f t="shared" si="10"/>
        <v>L</v>
      </c>
      <c r="C33" s="6" t="str">
        <f t="shared" si="11"/>
        <v>EARLY</v>
      </c>
      <c r="D33" s="6">
        <f t="shared" si="12"/>
        <v>87</v>
      </c>
      <c r="E33" s="6">
        <f t="shared" si="13"/>
        <v>9</v>
      </c>
      <c r="F33" s="6">
        <v>41</v>
      </c>
      <c r="G33" s="7">
        <v>14.57</v>
      </c>
      <c r="H33" s="6" t="str">
        <f>IF(F33="","",VLOOKUP(F33,[2]Sheet1!$B$2:$C$67,2,FALSE))</f>
        <v>Ex-Packer</v>
      </c>
      <c r="I33" s="6" t="str">
        <f>IF(D33="","",VLOOKUP(D33,[2]Sheet4!$A$1:$B$150,2,FALSE))</f>
        <v>WFP</v>
      </c>
    </row>
    <row r="34" spans="1:9" x14ac:dyDescent="0.3">
      <c r="A34" s="2">
        <f t="shared" si="9"/>
        <v>46034</v>
      </c>
      <c r="B34" s="3" t="str">
        <f t="shared" si="10"/>
        <v>L</v>
      </c>
      <c r="C34" s="3" t="str">
        <f t="shared" si="11"/>
        <v>EARLY</v>
      </c>
      <c r="D34" s="3">
        <f t="shared" si="12"/>
        <v>87</v>
      </c>
      <c r="E34" s="3">
        <f t="shared" si="13"/>
        <v>9</v>
      </c>
      <c r="F34" s="3">
        <v>42</v>
      </c>
      <c r="G34" s="4">
        <v>14.01</v>
      </c>
      <c r="H34" s="3" t="str">
        <f>IF(F34="","",VLOOKUP(F34,[2]Sheet1!$B$2:$C$67,2,FALSE))</f>
        <v>Ex-Packer</v>
      </c>
      <c r="I34" s="3" t="str">
        <f>IF(D34="","",VLOOKUP(D34,[2]Sheet4!$A$1:$B$150,2,FALSE))</f>
        <v>WFP</v>
      </c>
    </row>
    <row r="35" spans="1:9" x14ac:dyDescent="0.3">
      <c r="A35" s="5">
        <f t="shared" si="9"/>
        <v>46034</v>
      </c>
      <c r="B35" s="6" t="str">
        <f t="shared" si="10"/>
        <v>L</v>
      </c>
      <c r="C35" s="6" t="str">
        <f t="shared" si="11"/>
        <v>EARLY</v>
      </c>
      <c r="D35" s="6">
        <f t="shared" si="12"/>
        <v>87</v>
      </c>
      <c r="E35" s="6">
        <f t="shared" si="13"/>
        <v>9</v>
      </c>
      <c r="F35" s="6">
        <v>43</v>
      </c>
      <c r="G35" s="7">
        <v>14.26</v>
      </c>
      <c r="H35" s="6" t="str">
        <f>IF(F35="","",VLOOKUP(F35,[2]Sheet1!$B$2:$C$67,2,FALSE))</f>
        <v>Ex-Packer</v>
      </c>
      <c r="I35" s="6" t="str">
        <f>IF(D35="","",VLOOKUP(D35,[2]Sheet4!$A$1:$B$150,2,FALSE))</f>
        <v>WFP</v>
      </c>
    </row>
    <row r="36" spans="1:9" x14ac:dyDescent="0.3">
      <c r="A36" s="2">
        <f t="shared" si="9"/>
        <v>46034</v>
      </c>
      <c r="B36" s="3" t="str">
        <f t="shared" si="10"/>
        <v>L</v>
      </c>
      <c r="C36" s="3" t="str">
        <f t="shared" si="11"/>
        <v>EARLY</v>
      </c>
      <c r="D36" s="3" t="s">
        <v>1</v>
      </c>
      <c r="E36" s="3">
        <v>10</v>
      </c>
      <c r="F36" s="3">
        <v>11</v>
      </c>
      <c r="G36" s="4">
        <v>14.65</v>
      </c>
      <c r="H36" s="3" t="str">
        <f>IF(F36="","",VLOOKUP(F36,[2]Sheet1!$B$2:$C$67,2,FALSE))</f>
        <v>Ex-Maker</v>
      </c>
      <c r="I36" s="3" t="str">
        <f>IF(D36="","",VLOOKUP(D36,[2]Sheet4!$A$1:$B$150,2,FALSE))</f>
        <v>YTZ</v>
      </c>
    </row>
    <row r="37" spans="1:9" x14ac:dyDescent="0.3">
      <c r="A37" s="5">
        <f t="shared" si="9"/>
        <v>46034</v>
      </c>
      <c r="B37" s="6" t="str">
        <f t="shared" si="10"/>
        <v>L</v>
      </c>
      <c r="C37" s="6" t="str">
        <f t="shared" si="11"/>
        <v>EARLY</v>
      </c>
      <c r="D37" s="6" t="str">
        <f t="shared" ref="D37:D98" si="14">IF(F37="","",D36)</f>
        <v>J6</v>
      </c>
      <c r="E37" s="6">
        <f t="shared" ref="E37:E98" si="15">IF(F37="","",E36)</f>
        <v>10</v>
      </c>
      <c r="F37" s="6">
        <v>9</v>
      </c>
      <c r="G37" s="7">
        <v>15.03</v>
      </c>
      <c r="H37" s="6" t="str">
        <f>IF(F37="","",VLOOKUP(F37,[2]Sheet1!$B$2:$C$67,2,FALSE))</f>
        <v>Ex-Maker</v>
      </c>
      <c r="I37" s="6" t="str">
        <f>IF(D37="","",VLOOKUP(D37,[2]Sheet4!$A$1:$B$150,2,FALSE))</f>
        <v>YTZ</v>
      </c>
    </row>
    <row r="38" spans="1:9" x14ac:dyDescent="0.3">
      <c r="A38" s="2">
        <f t="shared" si="9"/>
        <v>46034</v>
      </c>
      <c r="B38" s="3" t="str">
        <f t="shared" si="10"/>
        <v>L</v>
      </c>
      <c r="C38" s="3" t="str">
        <f t="shared" si="11"/>
        <v>EARLY</v>
      </c>
      <c r="D38" s="3" t="str">
        <f t="shared" si="14"/>
        <v>J6</v>
      </c>
      <c r="E38" s="3">
        <f t="shared" si="15"/>
        <v>10</v>
      </c>
      <c r="F38" s="3">
        <v>26</v>
      </c>
      <c r="G38" s="4">
        <v>14.63</v>
      </c>
      <c r="H38" s="3" t="str">
        <f>IF(F38="","",VLOOKUP(F38,[2]Sheet1!$B$2:$C$67,2,FALSE))</f>
        <v>Ex-Maker</v>
      </c>
      <c r="I38" s="3" t="str">
        <f>IF(D38="","",VLOOKUP(D38,[2]Sheet4!$A$1:$B$150,2,FALSE))</f>
        <v>YTZ</v>
      </c>
    </row>
    <row r="39" spans="1:9" x14ac:dyDescent="0.3">
      <c r="A39" s="5">
        <f t="shared" si="9"/>
        <v>46034</v>
      </c>
      <c r="B39" s="6" t="str">
        <f t="shared" si="10"/>
        <v>L</v>
      </c>
      <c r="C39" s="6" t="str">
        <f t="shared" si="11"/>
        <v>EARLY</v>
      </c>
      <c r="D39" s="6" t="str">
        <f t="shared" si="14"/>
        <v>J6</v>
      </c>
      <c r="E39" s="6">
        <f t="shared" si="15"/>
        <v>10</v>
      </c>
      <c r="F39" s="6">
        <v>81</v>
      </c>
      <c r="G39" s="7">
        <v>14.4</v>
      </c>
      <c r="H39" s="6" t="str">
        <f>IF(F39="","",VLOOKUP(F39,[2]Sheet1!$B$2:$C$67,2,FALSE))</f>
        <v>Ex-Packer</v>
      </c>
      <c r="I39" s="6" t="str">
        <f>IF(D39="","",VLOOKUP(D39,[2]Sheet4!$A$1:$B$150,2,FALSE))</f>
        <v>YTZ</v>
      </c>
    </row>
    <row r="40" spans="1:9" x14ac:dyDescent="0.3">
      <c r="A40" s="2">
        <f t="shared" si="9"/>
        <v>46034</v>
      </c>
      <c r="B40" s="3" t="str">
        <f t="shared" si="10"/>
        <v>L</v>
      </c>
      <c r="C40" s="3" t="str">
        <f t="shared" si="11"/>
        <v>EARLY</v>
      </c>
      <c r="D40" s="3" t="str">
        <f t="shared" si="14"/>
        <v>J6</v>
      </c>
      <c r="E40" s="3">
        <f t="shared" si="15"/>
        <v>10</v>
      </c>
      <c r="F40" s="3">
        <v>95</v>
      </c>
      <c r="G40" s="4">
        <v>14.8</v>
      </c>
      <c r="H40" s="3" t="str">
        <f>IF(F40="","",VLOOKUP(F40,[2]Sheet1!$B$2:$C$67,2,FALSE))</f>
        <v>Ex-Packer</v>
      </c>
      <c r="I40" s="3" t="str">
        <f>IF(D40="","",VLOOKUP(D40,[2]Sheet4!$A$1:$B$150,2,FALSE))</f>
        <v>YTZ</v>
      </c>
    </row>
    <row r="41" spans="1:9" x14ac:dyDescent="0.3">
      <c r="A41" s="5">
        <f t="shared" si="9"/>
        <v>46034</v>
      </c>
      <c r="B41" s="6" t="str">
        <f t="shared" si="10"/>
        <v>L</v>
      </c>
      <c r="C41" s="6" t="str">
        <f t="shared" si="11"/>
        <v>EARLY</v>
      </c>
      <c r="D41" s="6">
        <v>91</v>
      </c>
      <c r="E41" s="6">
        <v>37</v>
      </c>
      <c r="F41" s="6">
        <v>25</v>
      </c>
      <c r="G41" s="7">
        <v>14.15</v>
      </c>
      <c r="H41" s="6" t="str">
        <f>IF(F41="","",VLOOKUP(F41,[2]Sheet1!$B$2:$C$67,2,FALSE))</f>
        <v>Ex-Maker</v>
      </c>
      <c r="I41" s="6" t="str">
        <f>IF(D41="","",VLOOKUP(D41,[2]Sheet4!$A$1:$B$150,2,FALSE))</f>
        <v>CTL</v>
      </c>
    </row>
    <row r="42" spans="1:9" x14ac:dyDescent="0.3">
      <c r="A42" s="2">
        <f t="shared" si="9"/>
        <v>46034</v>
      </c>
      <c r="B42" s="3" t="str">
        <f t="shared" si="10"/>
        <v>L</v>
      </c>
      <c r="C42" s="3" t="str">
        <f t="shared" si="11"/>
        <v>EARLY</v>
      </c>
      <c r="D42" s="3">
        <f t="shared" si="14"/>
        <v>91</v>
      </c>
      <c r="E42" s="3">
        <f t="shared" si="15"/>
        <v>37</v>
      </c>
      <c r="F42" s="3">
        <v>50</v>
      </c>
      <c r="G42" s="4">
        <v>14.14</v>
      </c>
      <c r="H42" s="3" t="str">
        <f>IF(F42="","",VLOOKUP(F42,[2]Sheet1!$B$2:$C$67,2,FALSE))</f>
        <v>Ex-Packer</v>
      </c>
      <c r="I42" s="3" t="str">
        <f>IF(D42="","",VLOOKUP(D42,[2]Sheet4!$A$1:$B$150,2,FALSE))</f>
        <v>CTL</v>
      </c>
    </row>
    <row r="43" spans="1:9" x14ac:dyDescent="0.3">
      <c r="A43" s="5">
        <f t="shared" si="9"/>
        <v>46034</v>
      </c>
      <c r="B43" s="6" t="str">
        <f t="shared" si="10"/>
        <v>L</v>
      </c>
      <c r="C43" s="6" t="str">
        <f t="shared" si="11"/>
        <v>EARLY</v>
      </c>
      <c r="D43" s="6">
        <f t="shared" si="14"/>
        <v>91</v>
      </c>
      <c r="E43" s="6">
        <f t="shared" si="15"/>
        <v>37</v>
      </c>
      <c r="F43" s="6">
        <v>51</v>
      </c>
      <c r="G43" s="7">
        <v>14.29</v>
      </c>
      <c r="H43" s="6" t="str">
        <f>IF(F43="","",VLOOKUP(F43,[2]Sheet1!$B$2:$C$67,2,FALSE))</f>
        <v>Ex-Packer</v>
      </c>
      <c r="I43" s="6" t="str">
        <f>IF(D43="","",VLOOKUP(D43,[2]Sheet4!$A$1:$B$150,2,FALSE))</f>
        <v>CTL</v>
      </c>
    </row>
    <row r="44" spans="1:9" x14ac:dyDescent="0.3">
      <c r="A44" s="2">
        <f t="shared" si="9"/>
        <v>46034</v>
      </c>
      <c r="B44" s="3" t="str">
        <f t="shared" si="10"/>
        <v>L</v>
      </c>
      <c r="C44" s="3" t="str">
        <f t="shared" si="11"/>
        <v>EARLY</v>
      </c>
      <c r="D44" s="3" t="s">
        <v>2</v>
      </c>
      <c r="E44" s="3">
        <v>10</v>
      </c>
      <c r="F44" s="3">
        <v>35</v>
      </c>
      <c r="G44" s="4">
        <v>14.47</v>
      </c>
      <c r="H44" s="3" t="str">
        <f>IF(F44="","",VLOOKUP(F44,[2]Sheet1!$B$2:$C$67,2,FALSE))</f>
        <v>Ex-Maker</v>
      </c>
      <c r="I44" s="3" t="str">
        <f>IF(D44="","",VLOOKUP(D44,[2]Sheet4!$A$1:$B$150,2,FALSE))</f>
        <v>CRK</v>
      </c>
    </row>
    <row r="45" spans="1:9" x14ac:dyDescent="0.3">
      <c r="A45" s="5">
        <f t="shared" si="9"/>
        <v>46034</v>
      </c>
      <c r="B45" s="6" t="str">
        <f t="shared" si="10"/>
        <v>L</v>
      </c>
      <c r="C45" s="6" t="str">
        <f t="shared" si="11"/>
        <v>EARLY</v>
      </c>
      <c r="D45" s="6" t="str">
        <f t="shared" si="14"/>
        <v>H1</v>
      </c>
      <c r="E45" s="6">
        <f t="shared" si="15"/>
        <v>10</v>
      </c>
      <c r="F45" s="6">
        <v>55</v>
      </c>
      <c r="G45" s="7">
        <v>13.86</v>
      </c>
      <c r="H45" s="6" t="str">
        <f>IF(F45="","",VLOOKUP(F45,[2]Sheet1!$B$2:$C$67,2,FALSE))</f>
        <v>Ex-Packer</v>
      </c>
      <c r="I45" s="6" t="str">
        <f>IF(D45="","",VLOOKUP(D45,[2]Sheet4!$A$1:$B$150,2,FALSE))</f>
        <v>CRK</v>
      </c>
    </row>
    <row r="46" spans="1:9" x14ac:dyDescent="0.3">
      <c r="A46" s="2">
        <f t="shared" si="9"/>
        <v>46034</v>
      </c>
      <c r="B46" s="3" t="str">
        <f t="shared" si="10"/>
        <v>L</v>
      </c>
      <c r="C46" s="3" t="str">
        <f t="shared" si="11"/>
        <v>EARLY</v>
      </c>
      <c r="D46" s="3" t="str">
        <f t="shared" si="14"/>
        <v>H1</v>
      </c>
      <c r="E46" s="3">
        <f t="shared" si="15"/>
        <v>10</v>
      </c>
      <c r="F46" s="3">
        <v>56</v>
      </c>
      <c r="G46" s="4">
        <v>14.09</v>
      </c>
      <c r="H46" s="3" t="str">
        <f>IF(F46="","",VLOOKUP(F46,[2]Sheet1!$B$2:$C$67,2,FALSE))</f>
        <v>Ex-Packer</v>
      </c>
      <c r="I46" s="3" t="str">
        <f>IF(D46="","",VLOOKUP(D46,[2]Sheet4!$A$1:$B$150,2,FALSE))</f>
        <v>CRK</v>
      </c>
    </row>
    <row r="47" spans="1:9" x14ac:dyDescent="0.3">
      <c r="A47" s="5">
        <f t="shared" si="9"/>
        <v>46034</v>
      </c>
      <c r="B47" s="6" t="str">
        <f t="shared" si="10"/>
        <v>L</v>
      </c>
      <c r="C47" s="6" t="str">
        <f t="shared" si="11"/>
        <v>EARLY</v>
      </c>
      <c r="D47" s="6" t="s">
        <v>0</v>
      </c>
      <c r="E47" s="6">
        <v>16</v>
      </c>
      <c r="F47" s="6">
        <v>28</v>
      </c>
      <c r="G47" s="7">
        <v>14.66</v>
      </c>
      <c r="H47" s="6" t="str">
        <f>IF(F47="","",VLOOKUP(F47,[2]Sheet1!$B$2:$C$67,2,FALSE))</f>
        <v>Ex-Maker</v>
      </c>
      <c r="I47" s="6" t="str">
        <f>IF(D47="","",VLOOKUP(D47,[2]Sheet4!$A$1:$B$150,2,FALSE))</f>
        <v>TFPM</v>
      </c>
    </row>
    <row r="48" spans="1:9" x14ac:dyDescent="0.3">
      <c r="A48" s="2">
        <f t="shared" si="9"/>
        <v>46034</v>
      </c>
      <c r="B48" s="3" t="str">
        <f t="shared" si="10"/>
        <v>L</v>
      </c>
      <c r="C48" s="3" t="str">
        <f t="shared" si="11"/>
        <v>EARLY</v>
      </c>
      <c r="D48" s="3" t="str">
        <f t="shared" si="14"/>
        <v>B2</v>
      </c>
      <c r="E48" s="3">
        <f t="shared" si="15"/>
        <v>16</v>
      </c>
      <c r="F48" s="3">
        <v>46</v>
      </c>
      <c r="G48" s="4">
        <v>14.77</v>
      </c>
      <c r="H48" s="3" t="str">
        <f>IF(F48="","",VLOOKUP(F48,[2]Sheet1!$B$2:$C$67,2,FALSE))</f>
        <v>Ex-Packer</v>
      </c>
      <c r="I48" s="3" t="str">
        <f>IF(D48="","",VLOOKUP(D48,[2]Sheet4!$A$1:$B$150,2,FALSE))</f>
        <v>TFPM</v>
      </c>
    </row>
    <row r="49" spans="1:9" x14ac:dyDescent="0.3">
      <c r="A49" s="5">
        <f t="shared" si="9"/>
        <v>46034</v>
      </c>
      <c r="B49" s="6" t="str">
        <f t="shared" si="10"/>
        <v>L</v>
      </c>
      <c r="C49" s="6" t="str">
        <f t="shared" si="11"/>
        <v>EARLY</v>
      </c>
      <c r="D49" s="6" t="str">
        <f t="shared" si="14"/>
        <v>B2</v>
      </c>
      <c r="E49" s="6">
        <f t="shared" si="15"/>
        <v>16</v>
      </c>
      <c r="F49" s="6">
        <v>47</v>
      </c>
      <c r="G49" s="7">
        <v>14.51</v>
      </c>
      <c r="H49" s="6" t="str">
        <f>IF(F49="","",VLOOKUP(F49,[2]Sheet1!$B$2:$C$67,2,FALSE))</f>
        <v>Ex-Packer</v>
      </c>
      <c r="I49" s="6" t="str">
        <f>IF(D49="","",VLOOKUP(D49,[2]Sheet4!$A$1:$B$150,2,FALSE))</f>
        <v>TFPM</v>
      </c>
    </row>
    <row r="50" spans="1:9" x14ac:dyDescent="0.3">
      <c r="A50" s="2">
        <f t="shared" si="9"/>
        <v>46034</v>
      </c>
      <c r="B50" s="3" t="str">
        <f t="shared" si="10"/>
        <v>L</v>
      </c>
      <c r="C50" s="3" t="str">
        <f t="shared" si="11"/>
        <v>EARLY</v>
      </c>
      <c r="D50" s="3" t="s">
        <v>13</v>
      </c>
      <c r="E50" s="3">
        <v>6</v>
      </c>
      <c r="F50" s="3">
        <v>20</v>
      </c>
      <c r="G50" s="4">
        <v>14.38</v>
      </c>
      <c r="H50" s="3" t="str">
        <f>IF(F50="","",VLOOKUP(F50,[2]Sheet1!$B$2:$C$67,2,FALSE))</f>
        <v>Ex-Maker</v>
      </c>
      <c r="I50" s="3" t="str">
        <f>IF(D50="","",VLOOKUP(D50,[2]Sheet4!$A$1:$B$150,2,FALSE))</f>
        <v>CRR</v>
      </c>
    </row>
    <row r="51" spans="1:9" x14ac:dyDescent="0.3">
      <c r="A51" s="5">
        <f t="shared" si="9"/>
        <v>46034</v>
      </c>
      <c r="B51" s="6" t="str">
        <f t="shared" si="10"/>
        <v>L</v>
      </c>
      <c r="C51" s="6" t="str">
        <f t="shared" si="11"/>
        <v>EARLY</v>
      </c>
      <c r="D51" s="6" t="str">
        <f t="shared" si="14"/>
        <v>J9</v>
      </c>
      <c r="E51" s="6">
        <f t="shared" si="15"/>
        <v>6</v>
      </c>
      <c r="F51" s="6">
        <v>94</v>
      </c>
      <c r="G51" s="7">
        <v>14.51</v>
      </c>
      <c r="H51" s="6" t="str">
        <f>IF(F51="","",VLOOKUP(F51,[2]Sheet1!$B$2:$C$67,2,FALSE))</f>
        <v>Ex-Packer</v>
      </c>
      <c r="I51" s="6" t="str">
        <f>IF(D51="","",VLOOKUP(D51,[2]Sheet4!$A$1:$B$150,2,FALSE))</f>
        <v>CRR</v>
      </c>
    </row>
    <row r="52" spans="1:9" x14ac:dyDescent="0.3">
      <c r="A52" s="2">
        <f t="shared" si="9"/>
        <v>46034</v>
      </c>
      <c r="B52" s="3" t="str">
        <f t="shared" si="10"/>
        <v>L</v>
      </c>
      <c r="C52" s="3" t="str">
        <f t="shared" si="11"/>
        <v>EARLY</v>
      </c>
      <c r="D52" s="3" t="s">
        <v>3</v>
      </c>
      <c r="E52" s="3">
        <v>3</v>
      </c>
      <c r="F52" s="3">
        <v>37</v>
      </c>
      <c r="G52" s="4">
        <v>14.69</v>
      </c>
      <c r="H52" s="3" t="str">
        <f>IF(F52="","",VLOOKUP(F52,[2]Sheet1!$B$2:$C$67,2,FALSE))</f>
        <v>Ex-Maker</v>
      </c>
      <c r="I52" s="3" t="str">
        <f>IF(D52="","",VLOOKUP(D52,[2]Sheet4!$A$1:$B$150,2,FALSE))</f>
        <v>YTMN</v>
      </c>
    </row>
    <row r="53" spans="1:9" x14ac:dyDescent="0.3">
      <c r="A53" s="5">
        <f t="shared" si="9"/>
        <v>46034</v>
      </c>
      <c r="B53" s="6" t="str">
        <f t="shared" si="10"/>
        <v>L</v>
      </c>
      <c r="C53" s="6" t="str">
        <f t="shared" si="11"/>
        <v>EARLY</v>
      </c>
      <c r="D53" s="6" t="str">
        <f t="shared" si="14"/>
        <v>H6</v>
      </c>
      <c r="E53" s="6">
        <f t="shared" si="15"/>
        <v>3</v>
      </c>
      <c r="F53" s="6">
        <v>38</v>
      </c>
      <c r="G53" s="7">
        <v>14.7</v>
      </c>
      <c r="H53" s="6" t="str">
        <f>IF(F53="","",VLOOKUP(F53,[2]Sheet1!$B$2:$C$67,2,FALSE))</f>
        <v>Ex-Maker</v>
      </c>
      <c r="I53" s="6" t="str">
        <f>IF(D53="","",VLOOKUP(D53,[2]Sheet4!$A$1:$B$150,2,FALSE))</f>
        <v>YTMN</v>
      </c>
    </row>
    <row r="54" spans="1:9" x14ac:dyDescent="0.3">
      <c r="A54" s="2">
        <f t="shared" si="9"/>
        <v>46034</v>
      </c>
      <c r="B54" s="3" t="str">
        <f t="shared" si="10"/>
        <v>L</v>
      </c>
      <c r="C54" s="3" t="str">
        <f t="shared" si="11"/>
        <v>EARLY</v>
      </c>
      <c r="D54" s="3" t="str">
        <f t="shared" si="14"/>
        <v>H6</v>
      </c>
      <c r="E54" s="3">
        <f t="shared" si="15"/>
        <v>3</v>
      </c>
      <c r="F54" s="3">
        <v>54</v>
      </c>
      <c r="G54" s="4">
        <v>14.89</v>
      </c>
      <c r="H54" s="3" t="str">
        <f>IF(F54="","",VLOOKUP(F54,[2]Sheet1!$B$2:$C$67,2,FALSE))</f>
        <v>Ex-Packer</v>
      </c>
      <c r="I54" s="3" t="str">
        <f>IF(D54="","",VLOOKUP(D54,[2]Sheet4!$A$1:$B$150,2,FALSE))</f>
        <v>YTMN</v>
      </c>
    </row>
    <row r="55" spans="1:9" x14ac:dyDescent="0.3">
      <c r="A55" s="5">
        <f t="shared" si="9"/>
        <v>46034</v>
      </c>
      <c r="B55" s="6" t="str">
        <f t="shared" si="10"/>
        <v>L</v>
      </c>
      <c r="C55" s="6" t="str">
        <f t="shared" si="11"/>
        <v>EARLY</v>
      </c>
      <c r="D55" s="6" t="str">
        <f t="shared" si="14"/>
        <v>H6</v>
      </c>
      <c r="E55" s="6">
        <f t="shared" si="15"/>
        <v>3</v>
      </c>
      <c r="F55" s="6">
        <v>78</v>
      </c>
      <c r="G55" s="7">
        <v>14.73</v>
      </c>
      <c r="H55" s="6" t="str">
        <f>IF(F55="","",VLOOKUP(F55,[2]Sheet1!$B$2:$C$67,2,FALSE))</f>
        <v>Ex-Packer</v>
      </c>
      <c r="I55" s="6" t="str">
        <f>IF(D55="","",VLOOKUP(D55,[2]Sheet4!$A$1:$B$150,2,FALSE))</f>
        <v>YTMN</v>
      </c>
    </row>
    <row r="56" spans="1:9" x14ac:dyDescent="0.3">
      <c r="A56" s="2">
        <f t="shared" si="9"/>
        <v>46034</v>
      </c>
      <c r="B56" s="3" t="str">
        <f t="shared" si="10"/>
        <v>L</v>
      </c>
      <c r="C56" s="3" t="str">
        <f t="shared" si="11"/>
        <v>EARLY</v>
      </c>
      <c r="D56" s="3" t="s">
        <v>4</v>
      </c>
      <c r="E56" s="3">
        <v>9</v>
      </c>
      <c r="F56" s="3">
        <v>10</v>
      </c>
      <c r="G56" s="4">
        <v>14.44</v>
      </c>
      <c r="H56" s="3" t="str">
        <f>IF(F56="","",VLOOKUP(F56,[2]Sheet1!$B$2:$C$67,2,FALSE))</f>
        <v>Ex-Maker</v>
      </c>
      <c r="I56" s="3" t="str">
        <f>IF(D56="","",VLOOKUP(D56,[2]Sheet4!$A$1:$B$150,2,FALSE))</f>
        <v>CJQ</v>
      </c>
    </row>
    <row r="57" spans="1:9" x14ac:dyDescent="0.3">
      <c r="A57" s="5">
        <f t="shared" si="9"/>
        <v>46034</v>
      </c>
      <c r="B57" s="6" t="str">
        <f t="shared" si="10"/>
        <v>L</v>
      </c>
      <c r="C57" s="6" t="str">
        <f t="shared" si="11"/>
        <v>EARLY</v>
      </c>
      <c r="D57" s="6" t="str">
        <f t="shared" si="14"/>
        <v>H3</v>
      </c>
      <c r="E57" s="6">
        <f t="shared" si="15"/>
        <v>9</v>
      </c>
      <c r="F57" s="6">
        <v>52</v>
      </c>
      <c r="G57" s="7">
        <v>14.41</v>
      </c>
      <c r="H57" s="6" t="str">
        <f>IF(F57="","",VLOOKUP(F57,[2]Sheet1!$B$2:$C$67,2,FALSE))</f>
        <v>Ex-Packer</v>
      </c>
      <c r="I57" s="6" t="str">
        <f>IF(D57="","",VLOOKUP(D57,[2]Sheet4!$A$1:$B$150,2,FALSE))</f>
        <v>CJQ</v>
      </c>
    </row>
    <row r="58" spans="1:9" x14ac:dyDescent="0.3">
      <c r="A58" s="2">
        <f t="shared" si="9"/>
        <v>46034</v>
      </c>
      <c r="B58" s="3" t="str">
        <f t="shared" si="10"/>
        <v>L</v>
      </c>
      <c r="C58" s="3" t="str">
        <f t="shared" si="11"/>
        <v>EARLY</v>
      </c>
      <c r="D58" s="3">
        <v>22</v>
      </c>
      <c r="E58" s="3">
        <v>6</v>
      </c>
      <c r="F58" s="3">
        <v>34</v>
      </c>
      <c r="G58" s="4">
        <v>14.23</v>
      </c>
      <c r="H58" s="3" t="str">
        <f>IF(F58="","",VLOOKUP(F58,[2]Sheet1!$B$2:$C$67,2,FALSE))</f>
        <v>Ex-Maker</v>
      </c>
      <c r="I58" s="3" t="str">
        <f>IF(D58="","",VLOOKUP(D58,[2]Sheet4!$A$1:$B$150,2,FALSE))</f>
        <v>TF</v>
      </c>
    </row>
    <row r="59" spans="1:9" x14ac:dyDescent="0.3">
      <c r="A59" s="5">
        <f t="shared" si="9"/>
        <v>46034</v>
      </c>
      <c r="B59" s="6" t="str">
        <f t="shared" si="10"/>
        <v>L</v>
      </c>
      <c r="C59" s="6" t="str">
        <f t="shared" si="11"/>
        <v>EARLY</v>
      </c>
      <c r="D59" s="6">
        <f t="shared" si="14"/>
        <v>22</v>
      </c>
      <c r="E59" s="6">
        <f t="shared" si="15"/>
        <v>6</v>
      </c>
      <c r="F59" s="6">
        <v>62</v>
      </c>
      <c r="G59" s="7">
        <v>14.37</v>
      </c>
      <c r="H59" s="6" t="str">
        <f>IF(F59="","",VLOOKUP(F59,[2]Sheet1!$B$2:$C$67,2,FALSE))</f>
        <v>Ex-Packer</v>
      </c>
      <c r="I59" s="6" t="str">
        <f>IF(D59="","",VLOOKUP(D59,[2]Sheet4!$A$1:$B$150,2,FALSE))</f>
        <v>TF</v>
      </c>
    </row>
    <row r="60" spans="1:9" x14ac:dyDescent="0.3">
      <c r="A60" s="2">
        <f t="shared" si="9"/>
        <v>46034</v>
      </c>
      <c r="B60" s="3" t="str">
        <f t="shared" si="10"/>
        <v>L</v>
      </c>
      <c r="C60" s="3" t="str">
        <f t="shared" si="11"/>
        <v>EARLY</v>
      </c>
      <c r="D60" s="3" t="s">
        <v>7</v>
      </c>
      <c r="E60" s="3">
        <v>4</v>
      </c>
      <c r="F60" s="3">
        <v>73</v>
      </c>
      <c r="G60" s="4">
        <v>14.74</v>
      </c>
      <c r="H60" s="3" t="str">
        <f>IF(F60="","",VLOOKUP(F60,[2]Sheet1!$B$2:$C$67,2,FALSE))</f>
        <v>Ex-Packer</v>
      </c>
      <c r="I60" s="3" t="str">
        <f>IF(D60="","",VLOOKUP(D60,[2]Sheet4!$A$1:$B$150,2,FALSE))</f>
        <v>ATL</v>
      </c>
    </row>
    <row r="61" spans="1:9" x14ac:dyDescent="0.3">
      <c r="A61" s="5">
        <f t="shared" si="9"/>
        <v>46034</v>
      </c>
      <c r="B61" s="6" t="s">
        <v>5</v>
      </c>
      <c r="C61" s="6" t="s">
        <v>10</v>
      </c>
      <c r="D61" s="6">
        <v>22</v>
      </c>
      <c r="E61" s="6">
        <v>6</v>
      </c>
      <c r="F61" s="6">
        <v>34</v>
      </c>
      <c r="G61" s="7">
        <v>14.58</v>
      </c>
      <c r="H61" s="6" t="str">
        <f>IF(F61="","",VLOOKUP(F61,[2]Sheet1!$B$2:$C$67,2,FALSE))</f>
        <v>Ex-Maker</v>
      </c>
      <c r="I61" s="6" t="str">
        <f>IF(D61="","",VLOOKUP(D61,[2]Sheet4!$A$1:$B$150,2,FALSE))</f>
        <v>TF</v>
      </c>
    </row>
    <row r="62" spans="1:9" x14ac:dyDescent="0.3">
      <c r="A62" s="2">
        <f t="shared" si="9"/>
        <v>46034</v>
      </c>
      <c r="B62" s="3" t="str">
        <f t="shared" si="10"/>
        <v>D</v>
      </c>
      <c r="C62" s="3" t="str">
        <f t="shared" si="11"/>
        <v>LATE</v>
      </c>
      <c r="D62" s="3">
        <f t="shared" si="14"/>
        <v>22</v>
      </c>
      <c r="E62" s="3">
        <f t="shared" si="15"/>
        <v>6</v>
      </c>
      <c r="F62" s="3">
        <v>62</v>
      </c>
      <c r="G62" s="4">
        <v>14.45</v>
      </c>
      <c r="H62" s="3" t="str">
        <f>IF(F62="","",VLOOKUP(F62,[2]Sheet1!$B$2:$C$67,2,FALSE))</f>
        <v>Ex-Packer</v>
      </c>
      <c r="I62" s="3" t="str">
        <f>IF(D62="","",VLOOKUP(D62,[2]Sheet4!$A$1:$B$150,2,FALSE))</f>
        <v>TF</v>
      </c>
    </row>
    <row r="63" spans="1:9" x14ac:dyDescent="0.3">
      <c r="A63" s="5">
        <f t="shared" si="9"/>
        <v>46034</v>
      </c>
      <c r="B63" s="6" t="str">
        <f t="shared" si="10"/>
        <v>D</v>
      </c>
      <c r="C63" s="6" t="str">
        <f t="shared" si="11"/>
        <v>LATE</v>
      </c>
      <c r="D63" s="6">
        <f t="shared" si="14"/>
        <v>22</v>
      </c>
      <c r="E63" s="6">
        <f t="shared" si="15"/>
        <v>6</v>
      </c>
      <c r="F63" s="6">
        <v>63</v>
      </c>
      <c r="G63" s="7">
        <v>14.5</v>
      </c>
      <c r="H63" s="6" t="str">
        <f>IF(F63="","",VLOOKUP(F63,[2]Sheet1!$B$2:$C$67,2,FALSE))</f>
        <v>Ex-Packer</v>
      </c>
      <c r="I63" s="6" t="str">
        <f>IF(D63="","",VLOOKUP(D63,[2]Sheet4!$A$1:$B$150,2,FALSE))</f>
        <v>TF</v>
      </c>
    </row>
    <row r="64" spans="1:9" x14ac:dyDescent="0.3">
      <c r="A64" s="2">
        <f t="shared" si="9"/>
        <v>46034</v>
      </c>
      <c r="B64" s="3" t="str">
        <f t="shared" si="10"/>
        <v>D</v>
      </c>
      <c r="C64" s="3" t="str">
        <f t="shared" si="11"/>
        <v>LATE</v>
      </c>
      <c r="D64" s="3" t="s">
        <v>4</v>
      </c>
      <c r="E64" s="3">
        <v>9</v>
      </c>
      <c r="F64" s="3">
        <v>10</v>
      </c>
      <c r="G64" s="4">
        <v>14.75</v>
      </c>
      <c r="H64" s="3" t="str">
        <f>IF(F64="","",VLOOKUP(F64,[2]Sheet1!$B$2:$C$67,2,FALSE))</f>
        <v>Ex-Maker</v>
      </c>
      <c r="I64" s="3" t="str">
        <f>IF(D64="","",VLOOKUP(D64,[2]Sheet4!$A$1:$B$150,2,FALSE))</f>
        <v>CJQ</v>
      </c>
    </row>
    <row r="65" spans="1:9" x14ac:dyDescent="0.3">
      <c r="A65" s="5">
        <f t="shared" si="9"/>
        <v>46034</v>
      </c>
      <c r="B65" s="6" t="str">
        <f t="shared" si="10"/>
        <v>D</v>
      </c>
      <c r="C65" s="6" t="str">
        <f t="shared" si="11"/>
        <v>LATE</v>
      </c>
      <c r="D65" s="6" t="str">
        <f t="shared" si="14"/>
        <v>H3</v>
      </c>
      <c r="E65" s="6">
        <f t="shared" si="15"/>
        <v>9</v>
      </c>
      <c r="F65" s="6">
        <v>52</v>
      </c>
      <c r="G65" s="7">
        <v>14.7</v>
      </c>
      <c r="H65" s="6" t="str">
        <f>IF(F65="","",VLOOKUP(F65,[2]Sheet1!$B$2:$C$67,2,FALSE))</f>
        <v>Ex-Packer</v>
      </c>
      <c r="I65" s="6" t="str">
        <f>IF(D65="","",VLOOKUP(D65,[2]Sheet4!$A$1:$B$150,2,FALSE))</f>
        <v>CJQ</v>
      </c>
    </row>
    <row r="66" spans="1:9" x14ac:dyDescent="0.3">
      <c r="A66" s="2">
        <f t="shared" si="9"/>
        <v>46034</v>
      </c>
      <c r="B66" s="3" t="str">
        <f t="shared" si="10"/>
        <v>D</v>
      </c>
      <c r="C66" s="3" t="str">
        <f t="shared" si="11"/>
        <v>LATE</v>
      </c>
      <c r="D66" s="3" t="str">
        <f t="shared" si="14"/>
        <v>H3</v>
      </c>
      <c r="E66" s="3">
        <f t="shared" si="15"/>
        <v>9</v>
      </c>
      <c r="F66" s="3">
        <v>70</v>
      </c>
      <c r="G66" s="4">
        <v>14.63</v>
      </c>
      <c r="H66" s="3" t="str">
        <f>IF(F66="","",VLOOKUP(F66,[2]Sheet1!$B$2:$C$67,2,FALSE))</f>
        <v>Ex-Packer</v>
      </c>
      <c r="I66" s="3" t="str">
        <f>IF(D66="","",VLOOKUP(D66,[2]Sheet4!$A$1:$B$150,2,FALSE))</f>
        <v>CJQ</v>
      </c>
    </row>
    <row r="67" spans="1:9" x14ac:dyDescent="0.3">
      <c r="A67" s="5">
        <f t="shared" si="9"/>
        <v>46034</v>
      </c>
      <c r="B67" s="6" t="str">
        <f t="shared" si="10"/>
        <v>D</v>
      </c>
      <c r="C67" s="6" t="str">
        <f t="shared" si="11"/>
        <v>LATE</v>
      </c>
      <c r="D67" s="6" t="s">
        <v>13</v>
      </c>
      <c r="E67" s="6">
        <v>17</v>
      </c>
      <c r="F67" s="6">
        <v>20</v>
      </c>
      <c r="G67" s="7">
        <v>14.94</v>
      </c>
      <c r="H67" s="6" t="str">
        <f>IF(F67="","",VLOOKUP(F67,[2]Sheet1!$B$2:$C$67,2,FALSE))</f>
        <v>Ex-Maker</v>
      </c>
      <c r="I67" s="6" t="str">
        <f>IF(D67="","",VLOOKUP(D67,[2]Sheet4!$A$1:$B$150,2,FALSE))</f>
        <v>CRR</v>
      </c>
    </row>
    <row r="68" spans="1:9" x14ac:dyDescent="0.3">
      <c r="A68" s="2">
        <f t="shared" si="9"/>
        <v>46034</v>
      </c>
      <c r="B68" s="3" t="str">
        <f t="shared" si="10"/>
        <v>D</v>
      </c>
      <c r="C68" s="3" t="str">
        <f t="shared" si="11"/>
        <v>LATE</v>
      </c>
      <c r="D68" s="3" t="str">
        <f t="shared" si="14"/>
        <v>J9</v>
      </c>
      <c r="E68" s="3">
        <f t="shared" si="15"/>
        <v>17</v>
      </c>
      <c r="F68" s="3">
        <v>94</v>
      </c>
      <c r="G68" s="4">
        <v>14.97</v>
      </c>
      <c r="H68" s="3" t="str">
        <f>IF(F68="","",VLOOKUP(F68,[2]Sheet1!$B$2:$C$67,2,FALSE))</f>
        <v>Ex-Packer</v>
      </c>
      <c r="I68" s="3" t="str">
        <f>IF(D68="","",VLOOKUP(D68,[2]Sheet4!$A$1:$B$150,2,FALSE))</f>
        <v>CRR</v>
      </c>
    </row>
    <row r="69" spans="1:9" x14ac:dyDescent="0.3">
      <c r="A69" s="5">
        <f t="shared" si="9"/>
        <v>46034</v>
      </c>
      <c r="B69" s="6" t="str">
        <f t="shared" si="10"/>
        <v>D</v>
      </c>
      <c r="C69" s="6" t="str">
        <f t="shared" si="11"/>
        <v>LATE</v>
      </c>
      <c r="D69" s="6" t="s">
        <v>1</v>
      </c>
      <c r="E69" s="6">
        <v>10</v>
      </c>
      <c r="F69" s="6">
        <v>9</v>
      </c>
      <c r="G69" s="7">
        <v>15.2</v>
      </c>
      <c r="H69" s="6" t="str">
        <f>IF(F69="","",VLOOKUP(F69,[2]Sheet1!$B$2:$C$67,2,FALSE))</f>
        <v>Ex-Maker</v>
      </c>
      <c r="I69" s="6" t="str">
        <f>IF(D69="","",VLOOKUP(D69,[2]Sheet4!$A$1:$B$150,2,FALSE))</f>
        <v>YTZ</v>
      </c>
    </row>
    <row r="70" spans="1:9" x14ac:dyDescent="0.3">
      <c r="A70" s="2">
        <f t="shared" si="9"/>
        <v>46034</v>
      </c>
      <c r="B70" s="3" t="str">
        <f t="shared" si="10"/>
        <v>D</v>
      </c>
      <c r="C70" s="3" t="str">
        <f t="shared" si="11"/>
        <v>LATE</v>
      </c>
      <c r="D70" s="3" t="str">
        <f t="shared" si="14"/>
        <v>J6</v>
      </c>
      <c r="E70" s="3">
        <f t="shared" si="15"/>
        <v>10</v>
      </c>
      <c r="F70" s="3">
        <v>11</v>
      </c>
      <c r="G70" s="4">
        <v>14.94</v>
      </c>
      <c r="H70" s="3" t="str">
        <f>IF(F70="","",VLOOKUP(F70,[2]Sheet1!$B$2:$C$67,2,FALSE))</f>
        <v>Ex-Maker</v>
      </c>
      <c r="I70" s="3" t="str">
        <f>IF(D70="","",VLOOKUP(D70,[2]Sheet4!$A$1:$B$150,2,FALSE))</f>
        <v>YTZ</v>
      </c>
    </row>
    <row r="71" spans="1:9" x14ac:dyDescent="0.3">
      <c r="A71" s="5">
        <f t="shared" si="9"/>
        <v>46034</v>
      </c>
      <c r="B71" s="6" t="str">
        <f t="shared" si="10"/>
        <v>D</v>
      </c>
      <c r="C71" s="6" t="str">
        <f t="shared" si="11"/>
        <v>LATE</v>
      </c>
      <c r="D71" s="6" t="str">
        <f t="shared" si="14"/>
        <v>J6</v>
      </c>
      <c r="E71" s="6">
        <f t="shared" si="15"/>
        <v>10</v>
      </c>
      <c r="F71" s="6">
        <v>26</v>
      </c>
      <c r="G71" s="7">
        <v>14.57</v>
      </c>
      <c r="H71" s="6" t="str">
        <f>IF(F71="","",VLOOKUP(F71,[2]Sheet1!$B$2:$C$67,2,FALSE))</f>
        <v>Ex-Maker</v>
      </c>
      <c r="I71" s="6" t="str">
        <f>IF(D71="","",VLOOKUP(D71,[2]Sheet4!$A$1:$B$150,2,FALSE))</f>
        <v>YTZ</v>
      </c>
    </row>
    <row r="72" spans="1:9" x14ac:dyDescent="0.3">
      <c r="A72" s="2">
        <f t="shared" si="9"/>
        <v>46034</v>
      </c>
      <c r="B72" s="3" t="str">
        <f t="shared" si="10"/>
        <v>D</v>
      </c>
      <c r="C72" s="3" t="str">
        <f t="shared" si="11"/>
        <v>LATE</v>
      </c>
      <c r="D72" s="3" t="str">
        <f t="shared" si="14"/>
        <v>J6</v>
      </c>
      <c r="E72" s="3">
        <f t="shared" si="15"/>
        <v>10</v>
      </c>
      <c r="F72" s="3">
        <v>73</v>
      </c>
      <c r="G72" s="4">
        <v>14.59</v>
      </c>
      <c r="H72" s="3" t="str">
        <f>IF(F72="","",VLOOKUP(F72,[2]Sheet1!$B$2:$C$67,2,FALSE))</f>
        <v>Ex-Packer</v>
      </c>
      <c r="I72" s="3" t="str">
        <f>IF(D72="","",VLOOKUP(D72,[2]Sheet4!$A$1:$B$150,2,FALSE))</f>
        <v>YTZ</v>
      </c>
    </row>
    <row r="73" spans="1:9" x14ac:dyDescent="0.3">
      <c r="A73" s="5">
        <f t="shared" si="9"/>
        <v>46034</v>
      </c>
      <c r="B73" s="6" t="str">
        <f t="shared" si="10"/>
        <v>D</v>
      </c>
      <c r="C73" s="6" t="str">
        <f t="shared" si="11"/>
        <v>LATE</v>
      </c>
      <c r="D73" s="6" t="str">
        <f t="shared" si="14"/>
        <v>J6</v>
      </c>
      <c r="E73" s="6">
        <f t="shared" si="15"/>
        <v>10</v>
      </c>
      <c r="F73" s="6">
        <v>81</v>
      </c>
      <c r="G73" s="7">
        <v>14.96</v>
      </c>
      <c r="H73" s="6" t="str">
        <f>IF(F73="","",VLOOKUP(F73,[2]Sheet1!$B$2:$C$67,2,FALSE))</f>
        <v>Ex-Packer</v>
      </c>
      <c r="I73" s="6" t="str">
        <f>IF(D73="","",VLOOKUP(D73,[2]Sheet4!$A$1:$B$150,2,FALSE))</f>
        <v>YTZ</v>
      </c>
    </row>
    <row r="74" spans="1:9" x14ac:dyDescent="0.3">
      <c r="A74" s="2">
        <f t="shared" si="9"/>
        <v>46034</v>
      </c>
      <c r="B74" s="3" t="str">
        <f t="shared" si="10"/>
        <v>D</v>
      </c>
      <c r="C74" s="3" t="str">
        <f t="shared" si="11"/>
        <v>LATE</v>
      </c>
      <c r="D74" s="3" t="str">
        <f t="shared" si="14"/>
        <v>J6</v>
      </c>
      <c r="E74" s="3">
        <f t="shared" si="15"/>
        <v>10</v>
      </c>
      <c r="F74" s="3">
        <v>95</v>
      </c>
      <c r="G74" s="4">
        <v>14.86</v>
      </c>
      <c r="H74" s="3" t="str">
        <f>IF(F74="","",VLOOKUP(F74,[2]Sheet1!$B$2:$C$67,2,FALSE))</f>
        <v>Ex-Packer</v>
      </c>
      <c r="I74" s="3" t="str">
        <f>IF(D74="","",VLOOKUP(D74,[2]Sheet4!$A$1:$B$150,2,FALSE))</f>
        <v>YTZ</v>
      </c>
    </row>
    <row r="75" spans="1:9" x14ac:dyDescent="0.3">
      <c r="A75" s="5">
        <f t="shared" si="9"/>
        <v>46034</v>
      </c>
      <c r="B75" s="6" t="str">
        <f t="shared" si="10"/>
        <v>D</v>
      </c>
      <c r="C75" s="6" t="str">
        <f t="shared" si="11"/>
        <v>LATE</v>
      </c>
      <c r="D75" s="6" t="s">
        <v>2</v>
      </c>
      <c r="E75" s="6">
        <v>10</v>
      </c>
      <c r="F75" s="6">
        <v>35</v>
      </c>
      <c r="G75" s="7">
        <v>14.74</v>
      </c>
      <c r="H75" s="6" t="str">
        <f>IF(F75="","",VLOOKUP(F75,[2]Sheet1!$B$2:$C$67,2,FALSE))</f>
        <v>Ex-Maker</v>
      </c>
      <c r="I75" s="6" t="str">
        <f>IF(D75="","",VLOOKUP(D75,[2]Sheet4!$A$1:$B$150,2,FALSE))</f>
        <v>CRK</v>
      </c>
    </row>
    <row r="76" spans="1:9" x14ac:dyDescent="0.3">
      <c r="A76" s="2">
        <f t="shared" si="9"/>
        <v>46034</v>
      </c>
      <c r="B76" s="3" t="str">
        <f t="shared" si="10"/>
        <v>D</v>
      </c>
      <c r="C76" s="3" t="str">
        <f t="shared" si="11"/>
        <v>LATE</v>
      </c>
      <c r="D76" s="3" t="str">
        <f t="shared" si="14"/>
        <v>H1</v>
      </c>
      <c r="E76" s="3">
        <f t="shared" si="15"/>
        <v>10</v>
      </c>
      <c r="F76" s="3">
        <v>55</v>
      </c>
      <c r="G76" s="4">
        <v>14.58</v>
      </c>
      <c r="H76" s="3" t="str">
        <f>IF(F76="","",VLOOKUP(F76,[2]Sheet1!$B$2:$C$67,2,FALSE))</f>
        <v>Ex-Packer</v>
      </c>
      <c r="I76" s="3" t="str">
        <f>IF(D76="","",VLOOKUP(D76,[2]Sheet4!$A$1:$B$150,2,FALSE))</f>
        <v>CRK</v>
      </c>
    </row>
    <row r="77" spans="1:9" x14ac:dyDescent="0.3">
      <c r="A77" s="5">
        <f t="shared" si="9"/>
        <v>46034</v>
      </c>
      <c r="B77" s="6" t="str">
        <f t="shared" si="10"/>
        <v>D</v>
      </c>
      <c r="C77" s="6" t="str">
        <f t="shared" si="11"/>
        <v>LATE</v>
      </c>
      <c r="D77" s="6" t="str">
        <f t="shared" si="14"/>
        <v>H1</v>
      </c>
      <c r="E77" s="6">
        <f t="shared" si="15"/>
        <v>10</v>
      </c>
      <c r="F77" s="6">
        <v>56</v>
      </c>
      <c r="G77" s="7">
        <v>14.96</v>
      </c>
      <c r="H77" s="6" t="str">
        <f>IF(F77="","",VLOOKUP(F77,[2]Sheet1!$B$2:$C$67,2,FALSE))</f>
        <v>Ex-Packer</v>
      </c>
      <c r="I77" s="6" t="str">
        <f>IF(D77="","",VLOOKUP(D77,[2]Sheet4!$A$1:$B$150,2,FALSE))</f>
        <v>CRK</v>
      </c>
    </row>
    <row r="78" spans="1:9" x14ac:dyDescent="0.3">
      <c r="A78" s="2">
        <f t="shared" si="9"/>
        <v>46034</v>
      </c>
      <c r="B78" s="3" t="str">
        <f t="shared" si="10"/>
        <v>D</v>
      </c>
      <c r="C78" s="3" t="str">
        <f t="shared" si="11"/>
        <v>LATE</v>
      </c>
      <c r="D78" s="3">
        <v>87</v>
      </c>
      <c r="E78" s="3">
        <v>10</v>
      </c>
      <c r="F78" s="3">
        <v>27</v>
      </c>
      <c r="G78" s="4">
        <v>14.6</v>
      </c>
      <c r="H78" s="3" t="str">
        <f>IF(F78="","",VLOOKUP(F78,[2]Sheet1!$B$2:$C$67,2,FALSE))</f>
        <v>Ex-Maker</v>
      </c>
      <c r="I78" s="3" t="str">
        <f>IF(D78="","",VLOOKUP(D78,[2]Sheet4!$A$1:$B$150,2,FALSE))</f>
        <v>WFP</v>
      </c>
    </row>
    <row r="79" spans="1:9" x14ac:dyDescent="0.3">
      <c r="A79" s="5">
        <f t="shared" si="9"/>
        <v>46034</v>
      </c>
      <c r="B79" s="6" t="str">
        <f t="shared" si="10"/>
        <v>D</v>
      </c>
      <c r="C79" s="6" t="str">
        <f t="shared" si="11"/>
        <v>LATE</v>
      </c>
      <c r="D79" s="6">
        <f t="shared" si="14"/>
        <v>87</v>
      </c>
      <c r="E79" s="6">
        <f t="shared" si="15"/>
        <v>10</v>
      </c>
      <c r="F79" s="6">
        <v>33</v>
      </c>
      <c r="G79" s="7">
        <v>14.74</v>
      </c>
      <c r="H79" s="6" t="str">
        <f>IF(F79="","",VLOOKUP(F79,[2]Sheet1!$B$2:$C$67,2,FALSE))</f>
        <v>Ex-Maker</v>
      </c>
      <c r="I79" s="6" t="str">
        <f>IF(D79="","",VLOOKUP(D79,[2]Sheet4!$A$1:$B$150,2,FALSE))</f>
        <v>WFP</v>
      </c>
    </row>
    <row r="80" spans="1:9" x14ac:dyDescent="0.3">
      <c r="A80" s="2">
        <f t="shared" si="9"/>
        <v>46034</v>
      </c>
      <c r="B80" s="3" t="str">
        <f t="shared" si="10"/>
        <v>D</v>
      </c>
      <c r="C80" s="3" t="str">
        <f t="shared" si="11"/>
        <v>LATE</v>
      </c>
      <c r="D80" s="3">
        <f t="shared" si="14"/>
        <v>87</v>
      </c>
      <c r="E80" s="3">
        <f t="shared" si="15"/>
        <v>10</v>
      </c>
      <c r="F80" s="3">
        <v>40</v>
      </c>
      <c r="G80" s="4">
        <v>14.76</v>
      </c>
      <c r="H80" s="3" t="str">
        <f>IF(F80="","",VLOOKUP(F80,[2]Sheet1!$B$2:$C$67,2,FALSE))</f>
        <v>Ex-Packer</v>
      </c>
      <c r="I80" s="3" t="str">
        <f>IF(D80="","",VLOOKUP(D80,[2]Sheet4!$A$1:$B$150,2,FALSE))</f>
        <v>WFP</v>
      </c>
    </row>
    <row r="81" spans="1:9" x14ac:dyDescent="0.3">
      <c r="A81" s="5">
        <f t="shared" si="9"/>
        <v>46034</v>
      </c>
      <c r="B81" s="6" t="str">
        <f t="shared" si="10"/>
        <v>D</v>
      </c>
      <c r="C81" s="6" t="str">
        <f t="shared" si="11"/>
        <v>LATE</v>
      </c>
      <c r="D81" s="6">
        <f t="shared" si="14"/>
        <v>87</v>
      </c>
      <c r="E81" s="6">
        <f t="shared" si="15"/>
        <v>10</v>
      </c>
      <c r="F81" s="6">
        <v>41</v>
      </c>
      <c r="G81" s="7">
        <v>14.49</v>
      </c>
      <c r="H81" s="6" t="str">
        <f>IF(F81="","",VLOOKUP(F81,[2]Sheet1!$B$2:$C$67,2,FALSE))</f>
        <v>Ex-Packer</v>
      </c>
      <c r="I81" s="6" t="str">
        <f>IF(D81="","",VLOOKUP(D81,[2]Sheet4!$A$1:$B$150,2,FALSE))</f>
        <v>WFP</v>
      </c>
    </row>
    <row r="82" spans="1:9" x14ac:dyDescent="0.3">
      <c r="A82" s="2">
        <f t="shared" si="9"/>
        <v>46034</v>
      </c>
      <c r="B82" s="3" t="str">
        <f t="shared" si="10"/>
        <v>D</v>
      </c>
      <c r="C82" s="3" t="str">
        <f t="shared" si="11"/>
        <v>LATE</v>
      </c>
      <c r="D82" s="3">
        <f t="shared" si="14"/>
        <v>87</v>
      </c>
      <c r="E82" s="3">
        <f t="shared" si="15"/>
        <v>10</v>
      </c>
      <c r="F82" s="3">
        <v>42</v>
      </c>
      <c r="G82" s="4">
        <v>14.52</v>
      </c>
      <c r="H82" s="3" t="str">
        <f>IF(F82="","",VLOOKUP(F82,[2]Sheet1!$B$2:$C$67,2,FALSE))</f>
        <v>Ex-Packer</v>
      </c>
      <c r="I82" s="3" t="str">
        <f>IF(D82="","",VLOOKUP(D82,[2]Sheet4!$A$1:$B$150,2,FALSE))</f>
        <v>WFP</v>
      </c>
    </row>
    <row r="83" spans="1:9" x14ac:dyDescent="0.3">
      <c r="A83" s="5">
        <f t="shared" si="9"/>
        <v>46034</v>
      </c>
      <c r="B83" s="6" t="str">
        <f t="shared" si="10"/>
        <v>D</v>
      </c>
      <c r="C83" s="6" t="str">
        <f t="shared" si="11"/>
        <v>LATE</v>
      </c>
      <c r="D83" s="6">
        <f t="shared" si="14"/>
        <v>87</v>
      </c>
      <c r="E83" s="6">
        <f t="shared" si="15"/>
        <v>10</v>
      </c>
      <c r="F83" s="6">
        <v>43</v>
      </c>
      <c r="G83" s="7">
        <v>14.58</v>
      </c>
      <c r="H83" s="6" t="str">
        <f>IF(F83="","",VLOOKUP(F83,[2]Sheet1!$B$2:$C$67,2,FALSE))</f>
        <v>Ex-Packer</v>
      </c>
      <c r="I83" s="6" t="str">
        <f>IF(D83="","",VLOOKUP(D83,[2]Sheet4!$A$1:$B$150,2,FALSE))</f>
        <v>WFP</v>
      </c>
    </row>
    <row r="84" spans="1:9" x14ac:dyDescent="0.3">
      <c r="A84" s="2">
        <f t="shared" si="9"/>
        <v>46034</v>
      </c>
      <c r="B84" s="3" t="str">
        <f t="shared" si="10"/>
        <v>D</v>
      </c>
      <c r="C84" s="3" t="str">
        <f t="shared" si="11"/>
        <v>LATE</v>
      </c>
      <c r="D84" s="3">
        <v>91</v>
      </c>
      <c r="E84" s="3">
        <v>37</v>
      </c>
      <c r="F84" s="3">
        <v>25</v>
      </c>
      <c r="G84" s="4">
        <v>14.5</v>
      </c>
      <c r="H84" s="3" t="str">
        <f>IF(F84="","",VLOOKUP(F84,[2]Sheet1!$B$2:$C$67,2,FALSE))</f>
        <v>Ex-Maker</v>
      </c>
      <c r="I84" s="3" t="str">
        <f>IF(D84="","",VLOOKUP(D84,[2]Sheet4!$A$1:$B$150,2,FALSE))</f>
        <v>CTL</v>
      </c>
    </row>
    <row r="85" spans="1:9" x14ac:dyDescent="0.3">
      <c r="A85" s="5">
        <f t="shared" si="9"/>
        <v>46034</v>
      </c>
      <c r="B85" s="6" t="str">
        <f t="shared" si="10"/>
        <v>D</v>
      </c>
      <c r="C85" s="6" t="str">
        <f t="shared" si="11"/>
        <v>LATE</v>
      </c>
      <c r="D85" s="6">
        <f t="shared" si="14"/>
        <v>91</v>
      </c>
      <c r="E85" s="6">
        <f t="shared" si="15"/>
        <v>37</v>
      </c>
      <c r="F85" s="6">
        <v>50</v>
      </c>
      <c r="G85" s="7">
        <v>14.45</v>
      </c>
      <c r="H85" s="6" t="str">
        <f>IF(F85="","",VLOOKUP(F85,[2]Sheet1!$B$2:$C$67,2,FALSE))</f>
        <v>Ex-Packer</v>
      </c>
      <c r="I85" s="6" t="str">
        <f>IF(D85="","",VLOOKUP(D85,[2]Sheet4!$A$1:$B$150,2,FALSE))</f>
        <v>CTL</v>
      </c>
    </row>
    <row r="86" spans="1:9" x14ac:dyDescent="0.3">
      <c r="A86" s="2">
        <f t="shared" si="9"/>
        <v>46034</v>
      </c>
      <c r="B86" s="3" t="str">
        <f t="shared" si="10"/>
        <v>D</v>
      </c>
      <c r="C86" s="3" t="str">
        <f t="shared" si="11"/>
        <v>LATE</v>
      </c>
      <c r="D86" s="3">
        <f t="shared" si="14"/>
        <v>91</v>
      </c>
      <c r="E86" s="3">
        <f t="shared" si="15"/>
        <v>37</v>
      </c>
      <c r="F86" s="3">
        <v>51</v>
      </c>
      <c r="G86" s="4">
        <v>14.19</v>
      </c>
      <c r="H86" s="3" t="str">
        <f>IF(F86="","",VLOOKUP(F86,[2]Sheet1!$B$2:$C$67,2,FALSE))</f>
        <v>Ex-Packer</v>
      </c>
      <c r="I86" s="3" t="str">
        <f>IF(D86="","",VLOOKUP(D86,[2]Sheet4!$A$1:$B$150,2,FALSE))</f>
        <v>CTL</v>
      </c>
    </row>
    <row r="87" spans="1:9" x14ac:dyDescent="0.3">
      <c r="A87" s="5">
        <f t="shared" si="9"/>
        <v>46034</v>
      </c>
      <c r="B87" s="6" t="str">
        <f t="shared" si="10"/>
        <v>D</v>
      </c>
      <c r="C87" s="6" t="str">
        <f t="shared" si="11"/>
        <v>LATE</v>
      </c>
      <c r="D87" s="6" t="s">
        <v>3</v>
      </c>
      <c r="E87" s="6">
        <v>4</v>
      </c>
      <c r="F87" s="6">
        <v>37</v>
      </c>
      <c r="G87" s="7">
        <v>14.86</v>
      </c>
      <c r="H87" s="6" t="str">
        <f>IF(F87="","",VLOOKUP(F87,[2]Sheet1!$B$2:$C$67,2,FALSE))</f>
        <v>Ex-Maker</v>
      </c>
      <c r="I87" s="6" t="str">
        <f>IF(D87="","",VLOOKUP(D87,[2]Sheet4!$A$1:$B$150,2,FALSE))</f>
        <v>YTMN</v>
      </c>
    </row>
    <row r="88" spans="1:9" x14ac:dyDescent="0.3">
      <c r="A88" s="2">
        <f t="shared" si="9"/>
        <v>46034</v>
      </c>
      <c r="B88" s="3" t="str">
        <f t="shared" si="10"/>
        <v>D</v>
      </c>
      <c r="C88" s="3" t="str">
        <f t="shared" si="11"/>
        <v>LATE</v>
      </c>
      <c r="D88" s="3" t="str">
        <f t="shared" si="14"/>
        <v>H6</v>
      </c>
      <c r="E88" s="3">
        <f t="shared" si="15"/>
        <v>4</v>
      </c>
      <c r="F88" s="3">
        <v>38</v>
      </c>
      <c r="G88" s="4">
        <v>15.34</v>
      </c>
      <c r="H88" s="3" t="str">
        <f>IF(F88="","",VLOOKUP(F88,[2]Sheet1!$B$2:$C$67,2,FALSE))</f>
        <v>Ex-Maker</v>
      </c>
      <c r="I88" s="3" t="str">
        <f>IF(D88="","",VLOOKUP(D88,[2]Sheet4!$A$1:$B$150,2,FALSE))</f>
        <v>YTMN</v>
      </c>
    </row>
    <row r="89" spans="1:9" x14ac:dyDescent="0.3">
      <c r="A89" s="5">
        <f t="shared" si="9"/>
        <v>46034</v>
      </c>
      <c r="B89" s="6" t="str">
        <f t="shared" si="10"/>
        <v>D</v>
      </c>
      <c r="C89" s="6" t="str">
        <f t="shared" si="11"/>
        <v>LATE</v>
      </c>
      <c r="D89" s="6" t="str">
        <f t="shared" si="14"/>
        <v>H6</v>
      </c>
      <c r="E89" s="6">
        <f t="shared" si="15"/>
        <v>4</v>
      </c>
      <c r="F89" s="6">
        <v>54</v>
      </c>
      <c r="G89" s="7">
        <v>15.39</v>
      </c>
      <c r="H89" s="6" t="str">
        <f>IF(F89="","",VLOOKUP(F89,[2]Sheet1!$B$2:$C$67,2,FALSE))</f>
        <v>Ex-Packer</v>
      </c>
      <c r="I89" s="6" t="str">
        <f>IF(D89="","",VLOOKUP(D89,[2]Sheet4!$A$1:$B$150,2,FALSE))</f>
        <v>YTMN</v>
      </c>
    </row>
    <row r="90" spans="1:9" x14ac:dyDescent="0.3">
      <c r="A90" s="2">
        <f t="shared" ref="A90:A134" si="16">IF(F90="","",A89)</f>
        <v>46034</v>
      </c>
      <c r="B90" s="3" t="str">
        <f t="shared" ref="B90:B134" si="17">IF(F90="","",B89)</f>
        <v>D</v>
      </c>
      <c r="C90" s="3" t="str">
        <f t="shared" si="11"/>
        <v>LATE</v>
      </c>
      <c r="D90" s="3" t="str">
        <f t="shared" si="14"/>
        <v>H6</v>
      </c>
      <c r="E90" s="3">
        <f t="shared" si="15"/>
        <v>4</v>
      </c>
      <c r="F90" s="3">
        <v>78</v>
      </c>
      <c r="G90" s="4">
        <v>15.24</v>
      </c>
      <c r="H90" s="3" t="str">
        <f>IF(F90="","",VLOOKUP(F90,[2]Sheet1!$B$2:$C$67,2,FALSE))</f>
        <v>Ex-Packer</v>
      </c>
      <c r="I90" s="3" t="str">
        <f>IF(D90="","",VLOOKUP(D90,[2]Sheet4!$A$1:$B$150,2,FALSE))</f>
        <v>YTMN</v>
      </c>
    </row>
    <row r="91" spans="1:9" x14ac:dyDescent="0.3">
      <c r="A91" s="5">
        <f t="shared" si="16"/>
        <v>46034</v>
      </c>
      <c r="B91" s="6" t="str">
        <f t="shared" si="17"/>
        <v>D</v>
      </c>
      <c r="C91" s="6" t="str">
        <f t="shared" si="11"/>
        <v>LATE</v>
      </c>
      <c r="D91" s="6" t="s">
        <v>0</v>
      </c>
      <c r="E91" s="6">
        <v>16</v>
      </c>
      <c r="F91" s="6">
        <v>24</v>
      </c>
      <c r="G91" s="7">
        <v>14.92</v>
      </c>
      <c r="H91" s="6" t="str">
        <f>IF(F91="","",VLOOKUP(F91,[2]Sheet1!$B$2:$C$67,2,FALSE))</f>
        <v>Ex-Maker</v>
      </c>
      <c r="I91" s="6" t="str">
        <f>IF(D91="","",VLOOKUP(D91,[2]Sheet4!$A$1:$B$150,2,FALSE))</f>
        <v>TFPM</v>
      </c>
    </row>
    <row r="92" spans="1:9" x14ac:dyDescent="0.3">
      <c r="A92" s="2">
        <f t="shared" si="16"/>
        <v>46034</v>
      </c>
      <c r="B92" s="3" t="str">
        <f t="shared" si="17"/>
        <v>D</v>
      </c>
      <c r="C92" s="3" t="str">
        <f t="shared" si="11"/>
        <v>LATE</v>
      </c>
      <c r="D92" s="3" t="str">
        <f t="shared" si="14"/>
        <v>B2</v>
      </c>
      <c r="E92" s="3">
        <f t="shared" si="15"/>
        <v>16</v>
      </c>
      <c r="F92" s="3">
        <v>28</v>
      </c>
      <c r="G92" s="4">
        <v>14.9</v>
      </c>
      <c r="H92" s="3" t="str">
        <f>IF(F92="","",VLOOKUP(F92,[2]Sheet1!$B$2:$C$67,2,FALSE))</f>
        <v>Ex-Maker</v>
      </c>
      <c r="I92" s="3" t="str">
        <f>IF(D92="","",VLOOKUP(D92,[2]Sheet4!$A$1:$B$150,2,FALSE))</f>
        <v>TFPM</v>
      </c>
    </row>
    <row r="93" spans="1:9" x14ac:dyDescent="0.3">
      <c r="A93" s="5">
        <f t="shared" si="16"/>
        <v>46034</v>
      </c>
      <c r="B93" s="6" t="str">
        <f t="shared" si="17"/>
        <v>D</v>
      </c>
      <c r="C93" s="6" t="str">
        <f t="shared" si="11"/>
        <v>LATE</v>
      </c>
      <c r="D93" s="6" t="str">
        <f t="shared" si="14"/>
        <v>B2</v>
      </c>
      <c r="E93" s="6">
        <f t="shared" si="15"/>
        <v>16</v>
      </c>
      <c r="F93" s="6">
        <v>46</v>
      </c>
      <c r="G93" s="7">
        <v>14.88</v>
      </c>
      <c r="H93" s="6" t="str">
        <f>IF(F93="","",VLOOKUP(F93,[2]Sheet1!$B$2:$C$67,2,FALSE))</f>
        <v>Ex-Packer</v>
      </c>
      <c r="I93" s="6" t="str">
        <f>IF(D93="","",VLOOKUP(D93,[2]Sheet4!$A$1:$B$150,2,FALSE))</f>
        <v>TFPM</v>
      </c>
    </row>
    <row r="94" spans="1:9" x14ac:dyDescent="0.3">
      <c r="A94" s="2">
        <f t="shared" si="16"/>
        <v>46034</v>
      </c>
      <c r="B94" s="3" t="str">
        <f t="shared" si="17"/>
        <v>D</v>
      </c>
      <c r="C94" s="3" t="str">
        <f t="shared" si="11"/>
        <v>LATE</v>
      </c>
      <c r="D94" s="3" t="str">
        <f t="shared" si="14"/>
        <v>B2</v>
      </c>
      <c r="E94" s="3">
        <f t="shared" si="15"/>
        <v>16</v>
      </c>
      <c r="F94" s="3">
        <v>47</v>
      </c>
      <c r="G94" s="4">
        <v>14.97</v>
      </c>
      <c r="H94" s="3" t="str">
        <f>IF(F94="","",VLOOKUP(F94,[2]Sheet1!$B$2:$C$67,2,FALSE))</f>
        <v>Ex-Packer</v>
      </c>
      <c r="I94" s="3" t="str">
        <f>IF(D94="","",VLOOKUP(D94,[2]Sheet4!$A$1:$B$150,2,FALSE))</f>
        <v>TFPM</v>
      </c>
    </row>
    <row r="95" spans="1:9" x14ac:dyDescent="0.3">
      <c r="A95" s="5">
        <f t="shared" si="16"/>
        <v>46034</v>
      </c>
      <c r="B95" s="6" t="str">
        <f t="shared" si="17"/>
        <v>D</v>
      </c>
      <c r="C95" s="6" t="str">
        <f t="shared" ref="C95:C134" si="18">IF(F95="","",C94)</f>
        <v>LATE</v>
      </c>
      <c r="D95" s="6" t="str">
        <f t="shared" si="14"/>
        <v>B2</v>
      </c>
      <c r="E95" s="6">
        <f t="shared" si="15"/>
        <v>16</v>
      </c>
      <c r="F95" s="6">
        <v>48</v>
      </c>
      <c r="G95" s="7">
        <v>15.13</v>
      </c>
      <c r="H95" s="6" t="str">
        <f>IF(F95="","",VLOOKUP(F95,[2]Sheet1!$B$2:$C$67,2,FALSE))</f>
        <v>Ex-Packer</v>
      </c>
      <c r="I95" s="6" t="str">
        <f>IF(D95="","",VLOOKUP(D95,[2]Sheet4!$A$1:$B$150,2,FALSE))</f>
        <v>TFPM</v>
      </c>
    </row>
    <row r="96" spans="1:9" x14ac:dyDescent="0.3">
      <c r="A96" s="2">
        <f t="shared" si="16"/>
        <v>46034</v>
      </c>
      <c r="B96" s="3" t="str">
        <f t="shared" si="17"/>
        <v>D</v>
      </c>
      <c r="C96" s="3" t="str">
        <f t="shared" si="18"/>
        <v>LATE</v>
      </c>
      <c r="D96" s="3" t="str">
        <f t="shared" si="14"/>
        <v>B2</v>
      </c>
      <c r="E96" s="3">
        <f t="shared" si="15"/>
        <v>16</v>
      </c>
      <c r="F96" s="3">
        <v>49</v>
      </c>
      <c r="G96" s="4">
        <v>14.9</v>
      </c>
      <c r="H96" s="3" t="str">
        <f>IF(F96="","",VLOOKUP(F96,[2]Sheet1!$B$2:$C$67,2,FALSE))</f>
        <v>Ex-Packer</v>
      </c>
      <c r="I96" s="3" t="str">
        <f>IF(D96="","",VLOOKUP(D96,[2]Sheet4!$A$1:$B$150,2,FALSE))</f>
        <v>TFPM</v>
      </c>
    </row>
    <row r="97" spans="1:9" x14ac:dyDescent="0.3">
      <c r="A97" s="5">
        <f t="shared" si="16"/>
        <v>46034</v>
      </c>
      <c r="B97" s="6" t="s">
        <v>11</v>
      </c>
      <c r="C97" s="6" t="s">
        <v>6</v>
      </c>
      <c r="D97" s="6" t="s">
        <v>14</v>
      </c>
      <c r="E97" s="6">
        <v>9</v>
      </c>
      <c r="F97" s="6">
        <v>20</v>
      </c>
      <c r="G97" s="7">
        <v>15.04</v>
      </c>
      <c r="H97" s="6" t="str">
        <f>IF(F97="","",VLOOKUP(F97,[2]Sheet1!$B$2:$C$67,2,FALSE))</f>
        <v>Ex-Maker</v>
      </c>
      <c r="I97" s="6" t="str">
        <f>IF(D97="","",VLOOKUP(D97,[2]Sheet4!$A$1:$B$150,2,FALSE))</f>
        <v>ATZ</v>
      </c>
    </row>
    <row r="98" spans="1:9" x14ac:dyDescent="0.3">
      <c r="A98" s="2">
        <f t="shared" si="16"/>
        <v>46034</v>
      </c>
      <c r="B98" s="3" t="str">
        <f t="shared" si="17"/>
        <v>C</v>
      </c>
      <c r="C98" s="3" t="str">
        <f t="shared" si="18"/>
        <v>NIGHT</v>
      </c>
      <c r="D98" s="3" t="str">
        <f t="shared" si="14"/>
        <v>YE</v>
      </c>
      <c r="E98" s="3">
        <f t="shared" si="15"/>
        <v>9</v>
      </c>
      <c r="F98" s="3">
        <v>94</v>
      </c>
      <c r="G98" s="4">
        <v>15.13</v>
      </c>
      <c r="H98" s="3" t="str">
        <f>IF(F98="","",VLOOKUP(F98,[2]Sheet1!$B$2:$C$67,2,FALSE))</f>
        <v>Ex-Packer</v>
      </c>
      <c r="I98" s="3" t="str">
        <f>IF(D98="","",VLOOKUP(D98,[2]Sheet4!$A$1:$B$150,2,FALSE))</f>
        <v>ATZ</v>
      </c>
    </row>
    <row r="99" spans="1:9" x14ac:dyDescent="0.3">
      <c r="A99" s="5">
        <f t="shared" si="16"/>
        <v>46034</v>
      </c>
      <c r="B99" s="6" t="str">
        <f t="shared" si="17"/>
        <v>C</v>
      </c>
      <c r="C99" s="6" t="str">
        <f t="shared" si="18"/>
        <v>NIGHT</v>
      </c>
      <c r="D99" s="6">
        <v>77</v>
      </c>
      <c r="E99" s="6">
        <v>1</v>
      </c>
      <c r="F99" s="6">
        <v>19</v>
      </c>
      <c r="G99" s="7">
        <v>14.42</v>
      </c>
      <c r="H99" s="6" t="str">
        <f>IF(F99="","",VLOOKUP(F99,[2]Sheet1!$B$2:$C$67,2,FALSE))</f>
        <v>Ex-Maker</v>
      </c>
      <c r="I99" s="6" t="str">
        <f>IF(D99="","",VLOOKUP(D99,[2]Sheet4!$A$1:$B$150,2,FALSE))</f>
        <v>YTS</v>
      </c>
    </row>
    <row r="100" spans="1:9" x14ac:dyDescent="0.3">
      <c r="A100" s="2">
        <f t="shared" si="16"/>
        <v>46034</v>
      </c>
      <c r="B100" s="3" t="str">
        <f t="shared" si="17"/>
        <v>C</v>
      </c>
      <c r="C100" s="3" t="str">
        <f t="shared" si="18"/>
        <v>NIGHT</v>
      </c>
      <c r="D100" s="3" t="s">
        <v>15</v>
      </c>
      <c r="E100" s="3">
        <v>1</v>
      </c>
      <c r="F100" s="3">
        <v>76</v>
      </c>
      <c r="G100" s="4">
        <v>13.88</v>
      </c>
      <c r="H100" s="3" t="str">
        <f>IF(F100="","",VLOOKUP(F100,[2]Sheet1!$B$2:$C$67,2,FALSE))</f>
        <v>Ex-Packer</v>
      </c>
      <c r="I100" s="3" t="str">
        <f>IF(D100="","",VLOOKUP(D100,[2]Sheet4!$A$1:$B$150,2,FALSE))</f>
        <v>CRW</v>
      </c>
    </row>
    <row r="101" spans="1:9" x14ac:dyDescent="0.3">
      <c r="A101" s="5">
        <f t="shared" si="16"/>
        <v>46034</v>
      </c>
      <c r="B101" s="6" t="str">
        <f t="shared" si="17"/>
        <v>C</v>
      </c>
      <c r="C101" s="6" t="str">
        <f t="shared" si="18"/>
        <v>NIGHT</v>
      </c>
      <c r="D101" s="6">
        <v>22</v>
      </c>
      <c r="E101" s="6">
        <v>6</v>
      </c>
      <c r="F101" s="6">
        <v>34</v>
      </c>
      <c r="G101" s="7">
        <v>13.94</v>
      </c>
      <c r="H101" s="6" t="str">
        <f>IF(F101="","",VLOOKUP(F101,[2]Sheet1!$B$2:$C$67,2,FALSE))</f>
        <v>Ex-Maker</v>
      </c>
      <c r="I101" s="6" t="str">
        <f>IF(D101="","",VLOOKUP(D101,[2]Sheet4!$A$1:$B$150,2,FALSE))</f>
        <v>TF</v>
      </c>
    </row>
    <row r="102" spans="1:9" x14ac:dyDescent="0.3">
      <c r="A102" s="2">
        <f t="shared" si="16"/>
        <v>46034</v>
      </c>
      <c r="B102" s="3" t="str">
        <f t="shared" si="17"/>
        <v>C</v>
      </c>
      <c r="C102" s="3" t="str">
        <f t="shared" si="18"/>
        <v>NIGHT</v>
      </c>
      <c r="D102" s="3">
        <f t="shared" ref="D102:D134" si="19">IF(F102="","",D101)</f>
        <v>22</v>
      </c>
      <c r="E102" s="3">
        <f t="shared" ref="E102:E134" si="20">IF(F102="","",E101)</f>
        <v>6</v>
      </c>
      <c r="F102" s="3">
        <v>62</v>
      </c>
      <c r="G102" s="4">
        <v>14.15</v>
      </c>
      <c r="H102" s="3" t="str">
        <f>IF(F102="","",VLOOKUP(F102,[2]Sheet1!$B$2:$C$67,2,FALSE))</f>
        <v>Ex-Packer</v>
      </c>
      <c r="I102" s="3" t="str">
        <f>IF(D102="","",VLOOKUP(D102,[2]Sheet4!$A$1:$B$150,2,FALSE))</f>
        <v>TF</v>
      </c>
    </row>
    <row r="103" spans="1:9" x14ac:dyDescent="0.3">
      <c r="A103" s="5">
        <f t="shared" si="16"/>
        <v>46034</v>
      </c>
      <c r="B103" s="6" t="str">
        <f t="shared" si="17"/>
        <v>C</v>
      </c>
      <c r="C103" s="6" t="str">
        <f t="shared" si="18"/>
        <v>NIGHT</v>
      </c>
      <c r="D103" s="6">
        <f t="shared" si="19"/>
        <v>22</v>
      </c>
      <c r="E103" s="6">
        <f t="shared" si="20"/>
        <v>6</v>
      </c>
      <c r="F103" s="6">
        <v>63</v>
      </c>
      <c r="G103" s="7">
        <v>14.05</v>
      </c>
      <c r="H103" s="6" t="str">
        <f>IF(F103="","",VLOOKUP(F103,[2]Sheet1!$B$2:$C$67,2,FALSE))</f>
        <v>Ex-Packer</v>
      </c>
      <c r="I103" s="6" t="str">
        <f>IF(D103="","",VLOOKUP(D103,[2]Sheet4!$A$1:$B$150,2,FALSE))</f>
        <v>TF</v>
      </c>
    </row>
    <row r="104" spans="1:9" x14ac:dyDescent="0.3">
      <c r="A104" s="2">
        <f t="shared" si="16"/>
        <v>46034</v>
      </c>
      <c r="B104" s="3" t="str">
        <f t="shared" si="17"/>
        <v>C</v>
      </c>
      <c r="C104" s="3" t="str">
        <f t="shared" si="18"/>
        <v>NIGHT</v>
      </c>
      <c r="D104" s="3" t="s">
        <v>4</v>
      </c>
      <c r="E104" s="3">
        <v>9</v>
      </c>
      <c r="F104" s="3">
        <v>10</v>
      </c>
      <c r="G104" s="4">
        <v>14.39</v>
      </c>
      <c r="H104" s="3" t="str">
        <f>IF(F104="","",VLOOKUP(F104,[2]Sheet1!$B$2:$C$67,2,FALSE))</f>
        <v>Ex-Maker</v>
      </c>
      <c r="I104" s="3" t="str">
        <f>IF(D104="","",VLOOKUP(D104,[2]Sheet4!$A$1:$B$150,2,FALSE))</f>
        <v>CJQ</v>
      </c>
    </row>
    <row r="105" spans="1:9" x14ac:dyDescent="0.3">
      <c r="A105" s="5">
        <f t="shared" si="16"/>
        <v>46034</v>
      </c>
      <c r="B105" s="6" t="str">
        <f t="shared" si="17"/>
        <v>C</v>
      </c>
      <c r="C105" s="6" t="str">
        <f t="shared" si="18"/>
        <v>NIGHT</v>
      </c>
      <c r="D105" s="6" t="str">
        <f t="shared" si="19"/>
        <v>H3</v>
      </c>
      <c r="E105" s="6">
        <f t="shared" si="20"/>
        <v>9</v>
      </c>
      <c r="F105" s="6">
        <v>52</v>
      </c>
      <c r="G105" s="7">
        <v>14.46</v>
      </c>
      <c r="H105" s="6" t="str">
        <f>IF(F105="","",VLOOKUP(F105,[2]Sheet1!$B$2:$C$67,2,FALSE))</f>
        <v>Ex-Packer</v>
      </c>
      <c r="I105" s="6" t="str">
        <f>IF(D105="","",VLOOKUP(D105,[2]Sheet4!$A$1:$B$150,2,FALSE))</f>
        <v>CJQ</v>
      </c>
    </row>
    <row r="106" spans="1:9" x14ac:dyDescent="0.3">
      <c r="A106" s="2">
        <f t="shared" si="16"/>
        <v>46034</v>
      </c>
      <c r="B106" s="3" t="str">
        <f t="shared" si="17"/>
        <v>C</v>
      </c>
      <c r="C106" s="3" t="str">
        <f t="shared" si="18"/>
        <v>NIGHT</v>
      </c>
      <c r="D106" s="3" t="str">
        <f t="shared" si="19"/>
        <v>H3</v>
      </c>
      <c r="E106" s="3">
        <f t="shared" si="20"/>
        <v>9</v>
      </c>
      <c r="F106" s="3">
        <v>70</v>
      </c>
      <c r="G106" s="4">
        <v>14.42</v>
      </c>
      <c r="H106" s="3" t="str">
        <f>IF(F106="","",VLOOKUP(F106,[2]Sheet1!$B$2:$C$67,2,FALSE))</f>
        <v>Ex-Packer</v>
      </c>
      <c r="I106" s="3" t="str">
        <f>IF(D106="","",VLOOKUP(D106,[2]Sheet4!$A$1:$B$150,2,FALSE))</f>
        <v>CJQ</v>
      </c>
    </row>
    <row r="107" spans="1:9" x14ac:dyDescent="0.3">
      <c r="A107" s="5">
        <f t="shared" si="16"/>
        <v>46034</v>
      </c>
      <c r="B107" s="6" t="str">
        <f t="shared" si="17"/>
        <v>C</v>
      </c>
      <c r="C107" s="6" t="str">
        <f t="shared" si="18"/>
        <v>NIGHT</v>
      </c>
      <c r="D107" s="6">
        <v>91</v>
      </c>
      <c r="E107" s="6">
        <v>37</v>
      </c>
      <c r="F107" s="6">
        <v>25</v>
      </c>
      <c r="G107" s="7">
        <v>14.05</v>
      </c>
      <c r="H107" s="6" t="str">
        <f>IF(F107="","",VLOOKUP(F107,[2]Sheet1!$B$2:$C$67,2,FALSE))</f>
        <v>Ex-Maker</v>
      </c>
      <c r="I107" s="6" t="str">
        <f>IF(D107="","",VLOOKUP(D107,[2]Sheet4!$A$1:$B$150,2,FALSE))</f>
        <v>CTL</v>
      </c>
    </row>
    <row r="108" spans="1:9" x14ac:dyDescent="0.3">
      <c r="A108" s="2">
        <f t="shared" si="16"/>
        <v>46034</v>
      </c>
      <c r="B108" s="3" t="str">
        <f t="shared" si="17"/>
        <v>C</v>
      </c>
      <c r="C108" s="3" t="str">
        <f t="shared" si="18"/>
        <v>NIGHT</v>
      </c>
      <c r="D108" s="3">
        <f t="shared" si="19"/>
        <v>91</v>
      </c>
      <c r="E108" s="3">
        <f t="shared" si="20"/>
        <v>37</v>
      </c>
      <c r="F108" s="3">
        <v>50</v>
      </c>
      <c r="G108" s="4">
        <v>14.16</v>
      </c>
      <c r="H108" s="3" t="str">
        <f>IF(F108="","",VLOOKUP(F108,[2]Sheet1!$B$2:$C$67,2,FALSE))</f>
        <v>Ex-Packer</v>
      </c>
      <c r="I108" s="3" t="str">
        <f>IF(D108="","",VLOOKUP(D108,[2]Sheet4!$A$1:$B$150,2,FALSE))</f>
        <v>CTL</v>
      </c>
    </row>
    <row r="109" spans="1:9" x14ac:dyDescent="0.3">
      <c r="A109" s="5">
        <f t="shared" si="16"/>
        <v>46034</v>
      </c>
      <c r="B109" s="6" t="str">
        <f t="shared" si="17"/>
        <v>C</v>
      </c>
      <c r="C109" s="6" t="str">
        <f t="shared" si="18"/>
        <v>NIGHT</v>
      </c>
      <c r="D109" s="6">
        <f t="shared" si="19"/>
        <v>91</v>
      </c>
      <c r="E109" s="6">
        <f t="shared" si="20"/>
        <v>37</v>
      </c>
      <c r="F109" s="6">
        <v>51</v>
      </c>
      <c r="G109" s="7">
        <v>14.25</v>
      </c>
      <c r="H109" s="6" t="str">
        <f>IF(F109="","",VLOOKUP(F109,[2]Sheet1!$B$2:$C$67,2,FALSE))</f>
        <v>Ex-Packer</v>
      </c>
      <c r="I109" s="6" t="str">
        <f>IF(D109="","",VLOOKUP(D109,[2]Sheet4!$A$1:$B$150,2,FALSE))</f>
        <v>CTL</v>
      </c>
    </row>
    <row r="110" spans="1:9" x14ac:dyDescent="0.3">
      <c r="A110" s="2">
        <f t="shared" si="16"/>
        <v>46034</v>
      </c>
      <c r="B110" s="3" t="str">
        <f t="shared" si="17"/>
        <v>C</v>
      </c>
      <c r="C110" s="3" t="str">
        <f t="shared" si="18"/>
        <v>NIGHT</v>
      </c>
      <c r="D110" s="3" t="s">
        <v>0</v>
      </c>
      <c r="E110" s="3">
        <v>17</v>
      </c>
      <c r="F110" s="3">
        <v>24</v>
      </c>
      <c r="G110" s="4">
        <v>15.54</v>
      </c>
      <c r="H110" s="3" t="str">
        <f>IF(F110="","",VLOOKUP(F110,[2]Sheet1!$B$2:$C$67,2,FALSE))</f>
        <v>Ex-Maker</v>
      </c>
      <c r="I110" s="3" t="str">
        <f>IF(D110="","",VLOOKUP(D110,[2]Sheet4!$A$1:$B$150,2,FALSE))</f>
        <v>TFPM</v>
      </c>
    </row>
    <row r="111" spans="1:9" x14ac:dyDescent="0.3">
      <c r="A111" s="5">
        <f t="shared" si="16"/>
        <v>46034</v>
      </c>
      <c r="B111" s="6" t="str">
        <f t="shared" si="17"/>
        <v>C</v>
      </c>
      <c r="C111" s="6" t="str">
        <f t="shared" si="18"/>
        <v>NIGHT</v>
      </c>
      <c r="D111" s="6" t="str">
        <f t="shared" si="19"/>
        <v>B2</v>
      </c>
      <c r="E111" s="6">
        <f t="shared" si="20"/>
        <v>17</v>
      </c>
      <c r="F111" s="6">
        <v>28</v>
      </c>
      <c r="G111" s="7">
        <v>14.94</v>
      </c>
      <c r="H111" s="6" t="str">
        <f>IF(F111="","",VLOOKUP(F111,[2]Sheet1!$B$2:$C$67,2,FALSE))</f>
        <v>Ex-Maker</v>
      </c>
      <c r="I111" s="6" t="str">
        <f>IF(D111="","",VLOOKUP(D111,[2]Sheet4!$A$1:$B$150,2,FALSE))</f>
        <v>TFPM</v>
      </c>
    </row>
    <row r="112" spans="1:9" x14ac:dyDescent="0.3">
      <c r="A112" s="2">
        <f t="shared" si="16"/>
        <v>46034</v>
      </c>
      <c r="B112" s="3" t="str">
        <f t="shared" si="17"/>
        <v>C</v>
      </c>
      <c r="C112" s="3" t="str">
        <f t="shared" si="18"/>
        <v>NIGHT</v>
      </c>
      <c r="D112" s="3" t="str">
        <f t="shared" si="19"/>
        <v>B2</v>
      </c>
      <c r="E112" s="3">
        <f t="shared" si="20"/>
        <v>17</v>
      </c>
      <c r="F112" s="3">
        <v>46</v>
      </c>
      <c r="G112" s="4">
        <v>14.74</v>
      </c>
      <c r="H112" s="3" t="str">
        <f>IF(F112="","",VLOOKUP(F112,[2]Sheet1!$B$2:$C$67,2,FALSE))</f>
        <v>Ex-Packer</v>
      </c>
      <c r="I112" s="3" t="str">
        <f>IF(D112="","",VLOOKUP(D112,[2]Sheet4!$A$1:$B$150,2,FALSE))</f>
        <v>TFPM</v>
      </c>
    </row>
    <row r="113" spans="1:9" x14ac:dyDescent="0.3">
      <c r="A113" s="5">
        <f t="shared" si="16"/>
        <v>46034</v>
      </c>
      <c r="B113" s="6" t="str">
        <f t="shared" si="17"/>
        <v>C</v>
      </c>
      <c r="C113" s="6" t="str">
        <f t="shared" si="18"/>
        <v>NIGHT</v>
      </c>
      <c r="D113" s="6" t="str">
        <f t="shared" si="19"/>
        <v>B2</v>
      </c>
      <c r="E113" s="6">
        <f t="shared" si="20"/>
        <v>17</v>
      </c>
      <c r="F113" s="6">
        <v>47</v>
      </c>
      <c r="G113" s="7">
        <v>14.84</v>
      </c>
      <c r="H113" s="6" t="str">
        <f>IF(F113="","",VLOOKUP(F113,[2]Sheet1!$B$2:$C$67,2,FALSE))</f>
        <v>Ex-Packer</v>
      </c>
      <c r="I113" s="6" t="str">
        <f>IF(D113="","",VLOOKUP(D113,[2]Sheet4!$A$1:$B$150,2,FALSE))</f>
        <v>TFPM</v>
      </c>
    </row>
    <row r="114" spans="1:9" x14ac:dyDescent="0.3">
      <c r="A114" s="2">
        <f t="shared" si="16"/>
        <v>46034</v>
      </c>
      <c r="B114" s="3" t="str">
        <f t="shared" si="17"/>
        <v>C</v>
      </c>
      <c r="C114" s="3" t="str">
        <f t="shared" si="18"/>
        <v>NIGHT</v>
      </c>
      <c r="D114" s="3" t="str">
        <f t="shared" si="19"/>
        <v>B2</v>
      </c>
      <c r="E114" s="3">
        <f t="shared" si="20"/>
        <v>17</v>
      </c>
      <c r="F114" s="3">
        <v>48</v>
      </c>
      <c r="G114" s="4">
        <v>15.04</v>
      </c>
      <c r="H114" s="3" t="str">
        <f>IF(F114="","",VLOOKUP(F114,[2]Sheet1!$B$2:$C$67,2,FALSE))</f>
        <v>Ex-Packer</v>
      </c>
      <c r="I114" s="3" t="str">
        <f>IF(D114="","",VLOOKUP(D114,[2]Sheet4!$A$1:$B$150,2,FALSE))</f>
        <v>TFPM</v>
      </c>
    </row>
    <row r="115" spans="1:9" x14ac:dyDescent="0.3">
      <c r="A115" s="5">
        <f t="shared" si="16"/>
        <v>46034</v>
      </c>
      <c r="B115" s="6" t="str">
        <f t="shared" si="17"/>
        <v>C</v>
      </c>
      <c r="C115" s="6" t="str">
        <f t="shared" si="18"/>
        <v>NIGHT</v>
      </c>
      <c r="D115" s="6" t="str">
        <f t="shared" si="19"/>
        <v>B2</v>
      </c>
      <c r="E115" s="6">
        <f t="shared" si="20"/>
        <v>17</v>
      </c>
      <c r="F115" s="6">
        <v>49</v>
      </c>
      <c r="G115" s="7">
        <v>15.14</v>
      </c>
      <c r="H115" s="6" t="str">
        <f>IF(F115="","",VLOOKUP(F115,[2]Sheet1!$B$2:$C$67,2,FALSE))</f>
        <v>Ex-Packer</v>
      </c>
      <c r="I115" s="6" t="str">
        <f>IF(D115="","",VLOOKUP(D115,[2]Sheet4!$A$1:$B$150,2,FALSE))</f>
        <v>TFPM</v>
      </c>
    </row>
    <row r="116" spans="1:9" x14ac:dyDescent="0.3">
      <c r="A116" s="2">
        <f t="shared" si="16"/>
        <v>46034</v>
      </c>
      <c r="B116" s="3" t="str">
        <f t="shared" si="17"/>
        <v>C</v>
      </c>
      <c r="C116" s="3" t="str">
        <f t="shared" si="18"/>
        <v>NIGHT</v>
      </c>
      <c r="D116" s="3" t="s">
        <v>2</v>
      </c>
      <c r="E116" s="3">
        <v>11</v>
      </c>
      <c r="F116" s="3">
        <v>35</v>
      </c>
      <c r="G116" s="4">
        <v>14.56</v>
      </c>
      <c r="H116" s="3" t="str">
        <f>IF(F116="","",VLOOKUP(F116,[2]Sheet1!$B$2:$C$67,2,FALSE))</f>
        <v>Ex-Maker</v>
      </c>
      <c r="I116" s="3" t="str">
        <f>IF(D116="","",VLOOKUP(D116,[2]Sheet4!$A$1:$B$150,2,FALSE))</f>
        <v>CRK</v>
      </c>
    </row>
    <row r="117" spans="1:9" x14ac:dyDescent="0.3">
      <c r="A117" s="5">
        <f t="shared" si="16"/>
        <v>46034</v>
      </c>
      <c r="B117" s="6" t="str">
        <f t="shared" si="17"/>
        <v>C</v>
      </c>
      <c r="C117" s="6" t="str">
        <f t="shared" si="18"/>
        <v>NIGHT</v>
      </c>
      <c r="D117" s="6" t="str">
        <f t="shared" si="19"/>
        <v>H1</v>
      </c>
      <c r="E117" s="6">
        <f t="shared" si="20"/>
        <v>11</v>
      </c>
      <c r="F117" s="6">
        <v>55</v>
      </c>
      <c r="G117" s="7">
        <v>15.01</v>
      </c>
      <c r="H117" s="6" t="str">
        <f>IF(F117="","",VLOOKUP(F117,[2]Sheet1!$B$2:$C$67,2,FALSE))</f>
        <v>Ex-Packer</v>
      </c>
      <c r="I117" s="6" t="str">
        <f>IF(D117="","",VLOOKUP(D117,[2]Sheet4!$A$1:$B$150,2,FALSE))</f>
        <v>CRK</v>
      </c>
    </row>
    <row r="118" spans="1:9" x14ac:dyDescent="0.3">
      <c r="A118" s="2">
        <f t="shared" si="16"/>
        <v>46034</v>
      </c>
      <c r="B118" s="3" t="str">
        <f t="shared" si="17"/>
        <v>C</v>
      </c>
      <c r="C118" s="3" t="str">
        <f t="shared" si="18"/>
        <v>NIGHT</v>
      </c>
      <c r="D118" s="3" t="str">
        <f t="shared" si="19"/>
        <v>H1</v>
      </c>
      <c r="E118" s="3">
        <f t="shared" si="20"/>
        <v>11</v>
      </c>
      <c r="F118" s="3">
        <v>56</v>
      </c>
      <c r="G118" s="4">
        <v>14.79</v>
      </c>
      <c r="H118" s="3" t="str">
        <f>IF(F118="","",VLOOKUP(F118,[2]Sheet1!$B$2:$C$67,2,FALSE))</f>
        <v>Ex-Packer</v>
      </c>
      <c r="I118" s="3" t="str">
        <f>IF(D118="","",VLOOKUP(D118,[2]Sheet4!$A$1:$B$150,2,FALSE))</f>
        <v>CRK</v>
      </c>
    </row>
    <row r="119" spans="1:9" x14ac:dyDescent="0.3">
      <c r="A119" s="5">
        <f t="shared" si="16"/>
        <v>46034</v>
      </c>
      <c r="B119" s="6" t="str">
        <f t="shared" si="17"/>
        <v>C</v>
      </c>
      <c r="C119" s="6" t="str">
        <f t="shared" si="18"/>
        <v>NIGHT</v>
      </c>
      <c r="D119" s="6" t="s">
        <v>3</v>
      </c>
      <c r="E119" s="6">
        <v>4</v>
      </c>
      <c r="F119" s="6">
        <v>37</v>
      </c>
      <c r="G119" s="7">
        <v>13.92</v>
      </c>
      <c r="H119" s="6" t="str">
        <f>IF(F119="","",VLOOKUP(F119,[2]Sheet1!$B$2:$C$67,2,FALSE))</f>
        <v>Ex-Maker</v>
      </c>
      <c r="I119" s="6" t="str">
        <f>IF(D119="","",VLOOKUP(D119,[2]Sheet4!$A$1:$B$150,2,FALSE))</f>
        <v>YTMN</v>
      </c>
    </row>
    <row r="120" spans="1:9" x14ac:dyDescent="0.3">
      <c r="A120" s="2">
        <f t="shared" si="16"/>
        <v>46034</v>
      </c>
      <c r="B120" s="3" t="str">
        <f t="shared" si="17"/>
        <v>C</v>
      </c>
      <c r="C120" s="3" t="str">
        <f t="shared" si="18"/>
        <v>NIGHT</v>
      </c>
      <c r="D120" s="3" t="str">
        <f t="shared" si="19"/>
        <v>H6</v>
      </c>
      <c r="E120" s="3">
        <f t="shared" si="20"/>
        <v>4</v>
      </c>
      <c r="F120" s="3">
        <v>38</v>
      </c>
      <c r="G120" s="4">
        <v>14.78</v>
      </c>
      <c r="H120" s="3" t="str">
        <f>IF(F120="","",VLOOKUP(F120,[2]Sheet1!$B$2:$C$67,2,FALSE))</f>
        <v>Ex-Maker</v>
      </c>
      <c r="I120" s="3" t="str">
        <f>IF(D120="","",VLOOKUP(D120,[2]Sheet4!$A$1:$B$150,2,FALSE))</f>
        <v>YTMN</v>
      </c>
    </row>
    <row r="121" spans="1:9" x14ac:dyDescent="0.3">
      <c r="A121" s="5">
        <f t="shared" si="16"/>
        <v>46034</v>
      </c>
      <c r="B121" s="6" t="str">
        <f t="shared" si="17"/>
        <v>C</v>
      </c>
      <c r="C121" s="6" t="str">
        <f t="shared" si="18"/>
        <v>NIGHT</v>
      </c>
      <c r="D121" s="6" t="str">
        <f t="shared" si="19"/>
        <v>H6</v>
      </c>
      <c r="E121" s="6">
        <f t="shared" si="20"/>
        <v>4</v>
      </c>
      <c r="F121" s="6">
        <v>54</v>
      </c>
      <c r="G121" s="7">
        <v>14.59</v>
      </c>
      <c r="H121" s="6" t="str">
        <f>IF(F121="","",VLOOKUP(F121,[2]Sheet1!$B$2:$C$67,2,FALSE))</f>
        <v>Ex-Packer</v>
      </c>
      <c r="I121" s="6" t="str">
        <f>IF(D121="","",VLOOKUP(D121,[2]Sheet4!$A$1:$B$150,2,FALSE))</f>
        <v>YTMN</v>
      </c>
    </row>
    <row r="122" spans="1:9" x14ac:dyDescent="0.3">
      <c r="A122" s="2">
        <f t="shared" si="16"/>
        <v>46034</v>
      </c>
      <c r="B122" s="3" t="str">
        <f t="shared" si="17"/>
        <v>C</v>
      </c>
      <c r="C122" s="3" t="str">
        <f t="shared" si="18"/>
        <v>NIGHT</v>
      </c>
      <c r="D122" s="3" t="str">
        <f t="shared" si="19"/>
        <v>H6</v>
      </c>
      <c r="E122" s="3">
        <f t="shared" si="20"/>
        <v>4</v>
      </c>
      <c r="F122" s="3">
        <v>78</v>
      </c>
      <c r="G122" s="4">
        <v>14.53</v>
      </c>
      <c r="H122" s="3" t="str">
        <f>IF(F122="","",VLOOKUP(F122,[2]Sheet1!$B$2:$C$67,2,FALSE))</f>
        <v>Ex-Packer</v>
      </c>
      <c r="I122" s="3" t="str">
        <f>IF(D122="","",VLOOKUP(D122,[2]Sheet4!$A$1:$B$150,2,FALSE))</f>
        <v>YTMN</v>
      </c>
    </row>
    <row r="123" spans="1:9" x14ac:dyDescent="0.3">
      <c r="A123" s="5">
        <f t="shared" si="16"/>
        <v>46034</v>
      </c>
      <c r="B123" s="6" t="str">
        <f t="shared" si="17"/>
        <v>C</v>
      </c>
      <c r="C123" s="6" t="str">
        <f t="shared" si="18"/>
        <v>NIGHT</v>
      </c>
      <c r="D123" s="6" t="s">
        <v>1</v>
      </c>
      <c r="E123" s="6">
        <v>11</v>
      </c>
      <c r="F123" s="6">
        <v>9</v>
      </c>
      <c r="G123" s="7">
        <v>13.91</v>
      </c>
      <c r="H123" s="6" t="str">
        <f>IF(F123="","",VLOOKUP(F123,[2]Sheet1!$B$2:$C$67,2,FALSE))</f>
        <v>Ex-Maker</v>
      </c>
      <c r="I123" s="6" t="str">
        <f>IF(D123="","",VLOOKUP(D123,[2]Sheet4!$A$1:$B$150,2,FALSE))</f>
        <v>YTZ</v>
      </c>
    </row>
    <row r="124" spans="1:9" x14ac:dyDescent="0.3">
      <c r="A124" s="2">
        <f t="shared" si="16"/>
        <v>46034</v>
      </c>
      <c r="B124" s="3" t="str">
        <f t="shared" si="17"/>
        <v>C</v>
      </c>
      <c r="C124" s="3" t="str">
        <f t="shared" si="18"/>
        <v>NIGHT</v>
      </c>
      <c r="D124" s="3" t="str">
        <f t="shared" si="19"/>
        <v>J6</v>
      </c>
      <c r="E124" s="3">
        <f t="shared" si="20"/>
        <v>11</v>
      </c>
      <c r="F124" s="3">
        <v>11</v>
      </c>
      <c r="G124" s="4">
        <v>13.82</v>
      </c>
      <c r="H124" s="3" t="str">
        <f>IF(F124="","",VLOOKUP(F124,[2]Sheet1!$B$2:$C$67,2,FALSE))</f>
        <v>Ex-Maker</v>
      </c>
      <c r="I124" s="3" t="str">
        <f>IF(D124="","",VLOOKUP(D124,[2]Sheet4!$A$1:$B$150,2,FALSE))</f>
        <v>YTZ</v>
      </c>
    </row>
    <row r="125" spans="1:9" x14ac:dyDescent="0.3">
      <c r="A125" s="5">
        <f t="shared" si="16"/>
        <v>46034</v>
      </c>
      <c r="B125" s="6" t="str">
        <f t="shared" si="17"/>
        <v>C</v>
      </c>
      <c r="C125" s="6" t="str">
        <f t="shared" si="18"/>
        <v>NIGHT</v>
      </c>
      <c r="D125" s="6" t="str">
        <f t="shared" si="19"/>
        <v>J6</v>
      </c>
      <c r="E125" s="6">
        <f t="shared" si="20"/>
        <v>11</v>
      </c>
      <c r="F125" s="6">
        <v>26</v>
      </c>
      <c r="G125" s="7">
        <v>13.91</v>
      </c>
      <c r="H125" s="6" t="str">
        <f>IF(F125="","",VLOOKUP(F125,[2]Sheet1!$B$2:$C$67,2,FALSE))</f>
        <v>Ex-Maker</v>
      </c>
      <c r="I125" s="6" t="str">
        <f>IF(D125="","",VLOOKUP(D125,[2]Sheet4!$A$1:$B$150,2,FALSE))</f>
        <v>YTZ</v>
      </c>
    </row>
    <row r="126" spans="1:9" x14ac:dyDescent="0.3">
      <c r="A126" s="2">
        <f t="shared" si="16"/>
        <v>46034</v>
      </c>
      <c r="B126" s="3" t="str">
        <f t="shared" si="17"/>
        <v>C</v>
      </c>
      <c r="C126" s="3" t="str">
        <f t="shared" si="18"/>
        <v>NIGHT</v>
      </c>
      <c r="D126" s="3" t="str">
        <f t="shared" si="19"/>
        <v>J6</v>
      </c>
      <c r="E126" s="3">
        <f t="shared" si="20"/>
        <v>11</v>
      </c>
      <c r="F126" s="3">
        <v>73</v>
      </c>
      <c r="G126" s="4">
        <v>13.69</v>
      </c>
      <c r="H126" s="3" t="str">
        <f>IF(F126="","",VLOOKUP(F126,[2]Sheet1!$B$2:$C$67,2,FALSE))</f>
        <v>Ex-Packer</v>
      </c>
      <c r="I126" s="3" t="str">
        <f>IF(D126="","",VLOOKUP(D126,[2]Sheet4!$A$1:$B$150,2,FALSE))</f>
        <v>YTZ</v>
      </c>
    </row>
    <row r="127" spans="1:9" x14ac:dyDescent="0.3">
      <c r="A127" s="5">
        <f t="shared" si="16"/>
        <v>46034</v>
      </c>
      <c r="B127" s="6" t="str">
        <f t="shared" si="17"/>
        <v>C</v>
      </c>
      <c r="C127" s="6" t="str">
        <f t="shared" si="18"/>
        <v>NIGHT</v>
      </c>
      <c r="D127" s="6" t="str">
        <f t="shared" si="19"/>
        <v>J6</v>
      </c>
      <c r="E127" s="6">
        <f t="shared" si="20"/>
        <v>11</v>
      </c>
      <c r="F127" s="6">
        <v>81</v>
      </c>
      <c r="G127" s="7">
        <v>13.81</v>
      </c>
      <c r="H127" s="6" t="str">
        <f>IF(F127="","",VLOOKUP(F127,[2]Sheet1!$B$2:$C$67,2,FALSE))</f>
        <v>Ex-Packer</v>
      </c>
      <c r="I127" s="6" t="str">
        <f>IF(D127="","",VLOOKUP(D127,[2]Sheet4!$A$1:$B$150,2,FALSE))</f>
        <v>YTZ</v>
      </c>
    </row>
    <row r="128" spans="1:9" x14ac:dyDescent="0.3">
      <c r="A128" s="2">
        <f t="shared" si="16"/>
        <v>46034</v>
      </c>
      <c r="B128" s="3" t="str">
        <f t="shared" si="17"/>
        <v>C</v>
      </c>
      <c r="C128" s="3" t="str">
        <f t="shared" si="18"/>
        <v>NIGHT</v>
      </c>
      <c r="D128" s="3" t="str">
        <f t="shared" si="19"/>
        <v>J6</v>
      </c>
      <c r="E128" s="3">
        <f t="shared" si="20"/>
        <v>11</v>
      </c>
      <c r="F128" s="3">
        <v>95</v>
      </c>
      <c r="G128" s="4">
        <v>14.05</v>
      </c>
      <c r="H128" s="3" t="str">
        <f>IF(F128="","",VLOOKUP(F128,[2]Sheet1!$B$2:$C$67,2,FALSE))</f>
        <v>Ex-Packer</v>
      </c>
      <c r="I128" s="3" t="str">
        <f>IF(D128="","",VLOOKUP(D128,[2]Sheet4!$A$1:$B$150,2,FALSE))</f>
        <v>YTZ</v>
      </c>
    </row>
    <row r="129" spans="1:9" x14ac:dyDescent="0.3">
      <c r="A129" s="5">
        <f t="shared" si="16"/>
        <v>46034</v>
      </c>
      <c r="B129" s="6" t="str">
        <f t="shared" si="17"/>
        <v>C</v>
      </c>
      <c r="C129" s="6" t="str">
        <f t="shared" si="18"/>
        <v>NIGHT</v>
      </c>
      <c r="D129" s="6" t="str">
        <f t="shared" si="19"/>
        <v>J6</v>
      </c>
      <c r="E129" s="6">
        <f t="shared" si="20"/>
        <v>11</v>
      </c>
      <c r="F129" s="6">
        <v>27</v>
      </c>
      <c r="G129" s="7">
        <v>14.53</v>
      </c>
      <c r="H129" s="6" t="str">
        <f>IF(F129="","",VLOOKUP(F129,[2]Sheet1!$B$2:$C$67,2,FALSE))</f>
        <v>Ex-Maker</v>
      </c>
      <c r="I129" s="6" t="str">
        <f>IF(D129="","",VLOOKUP(D129,[2]Sheet4!$A$1:$B$150,2,FALSE))</f>
        <v>YTZ</v>
      </c>
    </row>
    <row r="130" spans="1:9" x14ac:dyDescent="0.3">
      <c r="A130" s="2">
        <f t="shared" si="16"/>
        <v>46034</v>
      </c>
      <c r="B130" s="3" t="str">
        <f t="shared" si="17"/>
        <v>C</v>
      </c>
      <c r="C130" s="3" t="str">
        <f t="shared" si="18"/>
        <v>NIGHT</v>
      </c>
      <c r="D130" s="3" t="str">
        <f t="shared" si="19"/>
        <v>J6</v>
      </c>
      <c r="E130" s="3">
        <f t="shared" si="20"/>
        <v>11</v>
      </c>
      <c r="F130" s="3">
        <v>33</v>
      </c>
      <c r="G130" s="4">
        <v>14.11</v>
      </c>
      <c r="H130" s="3" t="str">
        <f>IF(F130="","",VLOOKUP(F130,[2]Sheet1!$B$2:$C$67,2,FALSE))</f>
        <v>Ex-Maker</v>
      </c>
      <c r="I130" s="3" t="str">
        <f>IF(D130="","",VLOOKUP(D130,[2]Sheet4!$A$1:$B$150,2,FALSE))</f>
        <v>YTZ</v>
      </c>
    </row>
    <row r="131" spans="1:9" x14ac:dyDescent="0.3">
      <c r="A131" s="5">
        <f t="shared" si="16"/>
        <v>46034</v>
      </c>
      <c r="B131" s="6" t="str">
        <f t="shared" si="17"/>
        <v>C</v>
      </c>
      <c r="C131" s="6" t="str">
        <f t="shared" si="18"/>
        <v>NIGHT</v>
      </c>
      <c r="D131" s="6" t="str">
        <f t="shared" si="19"/>
        <v>J6</v>
      </c>
      <c r="E131" s="6">
        <f t="shared" si="20"/>
        <v>11</v>
      </c>
      <c r="F131" s="6">
        <v>40</v>
      </c>
      <c r="G131" s="7">
        <v>14.49</v>
      </c>
      <c r="H131" s="6" t="str">
        <f>IF(F131="","",VLOOKUP(F131,[2]Sheet1!$B$2:$C$67,2,FALSE))</f>
        <v>Ex-Packer</v>
      </c>
      <c r="I131" s="6" t="str">
        <f>IF(D131="","",VLOOKUP(D131,[2]Sheet4!$A$1:$B$150,2,FALSE))</f>
        <v>YTZ</v>
      </c>
    </row>
    <row r="132" spans="1:9" x14ac:dyDescent="0.3">
      <c r="A132" s="2">
        <f t="shared" si="16"/>
        <v>46034</v>
      </c>
      <c r="B132" s="3" t="str">
        <f t="shared" si="17"/>
        <v>C</v>
      </c>
      <c r="C132" s="3" t="str">
        <f t="shared" si="18"/>
        <v>NIGHT</v>
      </c>
      <c r="D132" s="3" t="str">
        <f t="shared" si="19"/>
        <v>J6</v>
      </c>
      <c r="E132" s="3">
        <f t="shared" si="20"/>
        <v>11</v>
      </c>
      <c r="F132" s="3">
        <v>41</v>
      </c>
      <c r="G132" s="4">
        <v>14.45</v>
      </c>
      <c r="H132" s="3" t="str">
        <f>IF(F132="","",VLOOKUP(F132,[2]Sheet1!$B$2:$C$67,2,FALSE))</f>
        <v>Ex-Packer</v>
      </c>
      <c r="I132" s="3" t="str">
        <f>IF(D132="","",VLOOKUP(D132,[2]Sheet4!$A$1:$B$150,2,FALSE))</f>
        <v>YTZ</v>
      </c>
    </row>
    <row r="133" spans="1:9" x14ac:dyDescent="0.3">
      <c r="A133" s="5">
        <f t="shared" si="16"/>
        <v>46034</v>
      </c>
      <c r="B133" s="6" t="str">
        <f t="shared" si="17"/>
        <v>C</v>
      </c>
      <c r="C133" s="6" t="str">
        <f t="shared" si="18"/>
        <v>NIGHT</v>
      </c>
      <c r="D133" s="6" t="str">
        <f t="shared" si="19"/>
        <v>J6</v>
      </c>
      <c r="E133" s="6">
        <f t="shared" si="20"/>
        <v>11</v>
      </c>
      <c r="F133" s="6">
        <v>42</v>
      </c>
      <c r="G133" s="7">
        <v>14.88</v>
      </c>
      <c r="H133" s="6" t="str">
        <f>IF(F133="","",VLOOKUP(F133,[2]Sheet1!$B$2:$C$67,2,FALSE))</f>
        <v>Ex-Packer</v>
      </c>
      <c r="I133" s="6" t="str">
        <f>IF(D133="","",VLOOKUP(D133,[2]Sheet4!$A$1:$B$150,2,FALSE))</f>
        <v>YTZ</v>
      </c>
    </row>
    <row r="134" spans="1:9" x14ac:dyDescent="0.3">
      <c r="A134" s="8">
        <f t="shared" si="16"/>
        <v>46034</v>
      </c>
      <c r="B134" s="9" t="str">
        <f t="shared" si="17"/>
        <v>C</v>
      </c>
      <c r="C134" s="9" t="str">
        <f t="shared" si="18"/>
        <v>NIGHT</v>
      </c>
      <c r="D134" s="9" t="str">
        <f t="shared" si="19"/>
        <v>J6</v>
      </c>
      <c r="E134" s="9">
        <f t="shared" si="20"/>
        <v>11</v>
      </c>
      <c r="F134" s="9">
        <v>43</v>
      </c>
      <c r="G134" s="10">
        <v>13.9</v>
      </c>
      <c r="H134" s="9" t="str">
        <f>IF(F134="","",VLOOKUP(F134,[2]Sheet1!$B$2:$C$67,2,FALSE))</f>
        <v>Ex-Packer</v>
      </c>
      <c r="I134" s="9" t="str">
        <f>IF(D134="","",VLOOKUP(D134,[2]Sheet4!$A$1:$B$150,2,FALSE))</f>
        <v>YTZ</v>
      </c>
    </row>
    <row r="135" spans="1:9" x14ac:dyDescent="0.3">
      <c r="A135" s="5">
        <v>46035</v>
      </c>
      <c r="B135" s="6" t="s">
        <v>8</v>
      </c>
      <c r="C135" s="6" t="s">
        <v>9</v>
      </c>
      <c r="D135" s="6" t="s">
        <v>12</v>
      </c>
      <c r="E135" s="6">
        <v>19</v>
      </c>
      <c r="F135" s="6">
        <v>31</v>
      </c>
      <c r="G135" s="7">
        <v>14.193617021276598</v>
      </c>
      <c r="H135" s="6" t="str">
        <f>IF(F135="","",VLOOKUP(F135,[2]Sheet1!$B$2:$C$67,2,FALSE))</f>
        <v>Ex-Maker</v>
      </c>
      <c r="I135" s="6" t="str">
        <f>IF(D135="","",VLOOKUP(D135,[2]Sheet4!$A$1:$B$150,2,FALSE))</f>
        <v>PKC</v>
      </c>
    </row>
    <row r="136" spans="1:9" x14ac:dyDescent="0.3">
      <c r="A136" s="2">
        <f t="shared" ref="A136:A175" si="21">IF(F136="","",A135)</f>
        <v>46035</v>
      </c>
      <c r="B136" s="3" t="str">
        <f t="shared" ref="B136:B175" si="22">IF(F136="","",B135)</f>
        <v>L</v>
      </c>
      <c r="C136" s="3" t="s">
        <v>9</v>
      </c>
      <c r="D136" s="3" t="s">
        <v>12</v>
      </c>
      <c r="E136" s="3">
        <v>19</v>
      </c>
      <c r="F136" s="3">
        <v>31</v>
      </c>
      <c r="G136" s="4">
        <v>14.305035246727105</v>
      </c>
      <c r="H136" s="3" t="str">
        <f>IF(F136="","",VLOOKUP(F136,[2]Sheet1!$B$2:$C$67,2,FALSE))</f>
        <v>Ex-Maker</v>
      </c>
      <c r="I136" s="3" t="str">
        <f>IF(D136="","",VLOOKUP(D136,[2]Sheet4!$A$1:$B$150,2,FALSE))</f>
        <v>PKC</v>
      </c>
    </row>
    <row r="137" spans="1:9" x14ac:dyDescent="0.3">
      <c r="A137" s="5">
        <f t="shared" si="21"/>
        <v>46035</v>
      </c>
      <c r="B137" s="6" t="str">
        <f t="shared" si="22"/>
        <v>L</v>
      </c>
      <c r="C137" s="6" t="s">
        <v>9</v>
      </c>
      <c r="D137" s="6" t="s">
        <v>12</v>
      </c>
      <c r="E137" s="6">
        <v>19</v>
      </c>
      <c r="F137" s="6">
        <v>31</v>
      </c>
      <c r="G137" s="7">
        <v>11.544897959183675</v>
      </c>
      <c r="H137" s="6" t="str">
        <f>IF(F137="","",VLOOKUP(F137,[2]Sheet1!$B$2:$C$67,2,FALSE))</f>
        <v>Ex-Maker</v>
      </c>
      <c r="I137" s="6" t="str">
        <f>IF(D137="","",VLOOKUP(D137,[2]Sheet4!$A$1:$B$150,2,FALSE))</f>
        <v>PKC</v>
      </c>
    </row>
    <row r="138" spans="1:9" x14ac:dyDescent="0.3">
      <c r="A138" s="2">
        <f t="shared" si="21"/>
        <v>46035</v>
      </c>
      <c r="B138" s="3" t="s">
        <v>5</v>
      </c>
      <c r="C138" s="3" t="s">
        <v>10</v>
      </c>
      <c r="D138" s="3" t="s">
        <v>12</v>
      </c>
      <c r="E138" s="3">
        <v>19</v>
      </c>
      <c r="F138" s="3">
        <v>31</v>
      </c>
      <c r="G138" s="4">
        <v>15.805894962486594</v>
      </c>
      <c r="H138" s="3" t="str">
        <f>IF(F138="","",VLOOKUP(F138,[2]Sheet1!$B$2:$C$67,2,FALSE))</f>
        <v>Ex-Maker</v>
      </c>
      <c r="I138" s="3" t="str">
        <f>IF(D138="","",VLOOKUP(D138,[2]Sheet4!$A$1:$B$150,2,FALSE))</f>
        <v>PKC</v>
      </c>
    </row>
    <row r="139" spans="1:9" x14ac:dyDescent="0.3">
      <c r="A139" s="5">
        <f t="shared" si="21"/>
        <v>46035</v>
      </c>
      <c r="B139" s="6" t="str">
        <f t="shared" si="22"/>
        <v>D</v>
      </c>
      <c r="C139" s="6" t="s">
        <v>10</v>
      </c>
      <c r="D139" s="6" t="s">
        <v>12</v>
      </c>
      <c r="E139" s="6">
        <v>19</v>
      </c>
      <c r="F139" s="6">
        <v>31</v>
      </c>
      <c r="G139" s="7">
        <v>16.155087358684487</v>
      </c>
      <c r="H139" s="6" t="str">
        <f>IF(F139="","",VLOOKUP(F139,[2]Sheet1!$B$2:$C$67,2,FALSE))</f>
        <v>Ex-Maker</v>
      </c>
      <c r="I139" s="6" t="str">
        <f>IF(D139="","",VLOOKUP(D139,[2]Sheet4!$A$1:$B$150,2,FALSE))</f>
        <v>PKC</v>
      </c>
    </row>
    <row r="140" spans="1:9" x14ac:dyDescent="0.3">
      <c r="A140" s="2">
        <f t="shared" si="21"/>
        <v>46035</v>
      </c>
      <c r="B140" s="3" t="str">
        <f t="shared" si="22"/>
        <v>D</v>
      </c>
      <c r="C140" s="3" t="s">
        <v>10</v>
      </c>
      <c r="D140" s="3" t="s">
        <v>12</v>
      </c>
      <c r="E140" s="3">
        <v>19</v>
      </c>
      <c r="F140" s="3">
        <v>31</v>
      </c>
      <c r="G140" s="4">
        <v>15.089473684210535</v>
      </c>
      <c r="H140" s="3" t="str">
        <f>IF(F140="","",VLOOKUP(F140,[2]Sheet1!$B$2:$C$67,2,FALSE))</f>
        <v>Ex-Maker</v>
      </c>
      <c r="I140" s="3" t="str">
        <f>IF(D140="","",VLOOKUP(D140,[2]Sheet4!$A$1:$B$150,2,FALSE))</f>
        <v>PKC</v>
      </c>
    </row>
    <row r="141" spans="1:9" x14ac:dyDescent="0.3">
      <c r="A141" s="5">
        <f t="shared" si="21"/>
        <v>46035</v>
      </c>
      <c r="B141" s="6" t="str">
        <f t="shared" si="22"/>
        <v>D</v>
      </c>
      <c r="C141" s="6" t="s">
        <v>10</v>
      </c>
      <c r="D141" s="6" t="s">
        <v>12</v>
      </c>
      <c r="E141" s="6">
        <v>19</v>
      </c>
      <c r="F141" s="6">
        <v>67</v>
      </c>
      <c r="G141" s="7">
        <v>14.336045314109175</v>
      </c>
      <c r="H141" s="6" t="str">
        <f>IF(F141="","",VLOOKUP(F141,[2]Sheet1!$B$2:$C$67,2,FALSE))</f>
        <v>Ex-Packer</v>
      </c>
      <c r="I141" s="6" t="str">
        <f>IF(D141="","",VLOOKUP(D141,[2]Sheet4!$A$1:$B$150,2,FALSE))</f>
        <v>PKC</v>
      </c>
    </row>
    <row r="142" spans="1:9" x14ac:dyDescent="0.3">
      <c r="A142" s="2">
        <f t="shared" si="21"/>
        <v>46035</v>
      </c>
      <c r="B142" s="3" t="str">
        <f t="shared" si="22"/>
        <v>D</v>
      </c>
      <c r="C142" s="3" t="s">
        <v>10</v>
      </c>
      <c r="D142" s="3" t="s">
        <v>12</v>
      </c>
      <c r="E142" s="3">
        <v>19</v>
      </c>
      <c r="F142" s="3">
        <v>67</v>
      </c>
      <c r="G142" s="4">
        <v>14.39846827133481</v>
      </c>
      <c r="H142" s="3" t="str">
        <f>IF(F142="","",VLOOKUP(F142,[2]Sheet1!$B$2:$C$67,2,FALSE))</f>
        <v>Ex-Packer</v>
      </c>
      <c r="I142" s="3" t="str">
        <f>IF(D142="","",VLOOKUP(D142,[2]Sheet4!$A$1:$B$150,2,FALSE))</f>
        <v>PKC</v>
      </c>
    </row>
    <row r="143" spans="1:9" x14ac:dyDescent="0.3">
      <c r="A143" s="5">
        <f t="shared" si="21"/>
        <v>46035</v>
      </c>
      <c r="B143" s="6" t="str">
        <f t="shared" si="22"/>
        <v>D</v>
      </c>
      <c r="C143" s="6" t="s">
        <v>10</v>
      </c>
      <c r="D143" s="6" t="s">
        <v>12</v>
      </c>
      <c r="E143" s="6">
        <v>19</v>
      </c>
      <c r="F143" s="6">
        <v>67</v>
      </c>
      <c r="G143" s="7">
        <v>14.924999999999986</v>
      </c>
      <c r="H143" s="6" t="str">
        <f>IF(F143="","",VLOOKUP(F143,[2]Sheet1!$B$2:$C$67,2,FALSE))</f>
        <v>Ex-Packer</v>
      </c>
      <c r="I143" s="6" t="str">
        <f>IF(D143="","",VLOOKUP(D143,[2]Sheet4!$A$1:$B$150,2,FALSE))</f>
        <v>PKC</v>
      </c>
    </row>
    <row r="144" spans="1:9" x14ac:dyDescent="0.3">
      <c r="A144" s="2">
        <f t="shared" si="21"/>
        <v>46035</v>
      </c>
      <c r="B144" s="3" t="s">
        <v>11</v>
      </c>
      <c r="C144" s="3" t="s">
        <v>6</v>
      </c>
      <c r="D144" s="3" t="s">
        <v>12</v>
      </c>
      <c r="E144" s="3">
        <v>19</v>
      </c>
      <c r="F144" s="3">
        <v>31</v>
      </c>
      <c r="G144" s="4">
        <v>13.585714285714236</v>
      </c>
      <c r="H144" s="3" t="str">
        <f>IF(F144="","",VLOOKUP(F144,[2]Sheet1!$B$2:$C$67,2,FALSE))</f>
        <v>Ex-Maker</v>
      </c>
      <c r="I144" s="3" t="str">
        <f>IF(D144="","",VLOOKUP(D144,[2]Sheet4!$A$1:$B$150,2,FALSE))</f>
        <v>PKC</v>
      </c>
    </row>
    <row r="145" spans="1:9" x14ac:dyDescent="0.3">
      <c r="A145" s="5">
        <f t="shared" si="21"/>
        <v>46035</v>
      </c>
      <c r="B145" s="6" t="str">
        <f t="shared" si="22"/>
        <v>C</v>
      </c>
      <c r="C145" s="6" t="s">
        <v>6</v>
      </c>
      <c r="D145" s="6" t="s">
        <v>12</v>
      </c>
      <c r="E145" s="6">
        <v>19</v>
      </c>
      <c r="F145" s="6">
        <v>31</v>
      </c>
      <c r="G145" s="7">
        <v>12.927992633517523</v>
      </c>
      <c r="H145" s="6" t="str">
        <f>IF(F145="","",VLOOKUP(F145,[2]Sheet1!$B$2:$C$67,2,FALSE))</f>
        <v>Ex-Maker</v>
      </c>
      <c r="I145" s="6" t="str">
        <f>IF(D145="","",VLOOKUP(D145,[2]Sheet4!$A$1:$B$150,2,FALSE))</f>
        <v>PKC</v>
      </c>
    </row>
    <row r="146" spans="1:9" x14ac:dyDescent="0.3">
      <c r="A146" s="2">
        <f t="shared" si="21"/>
        <v>46035</v>
      </c>
      <c r="B146" s="3" t="str">
        <f t="shared" si="22"/>
        <v>C</v>
      </c>
      <c r="C146" s="3" t="s">
        <v>6</v>
      </c>
      <c r="D146" s="3" t="s">
        <v>12</v>
      </c>
      <c r="E146" s="3">
        <v>19</v>
      </c>
      <c r="F146" s="3">
        <v>67</v>
      </c>
      <c r="G146" s="4">
        <v>12.871428571428599</v>
      </c>
      <c r="H146" s="3" t="str">
        <f>IF(F146="","",VLOOKUP(F146,[2]Sheet1!$B$2:$C$67,2,FALSE))</f>
        <v>Ex-Packer</v>
      </c>
      <c r="I146" s="3" t="str">
        <f>IF(D146="","",VLOOKUP(D146,[2]Sheet4!$A$1:$B$150,2,FALSE))</f>
        <v>PKC</v>
      </c>
    </row>
    <row r="147" spans="1:9" x14ac:dyDescent="0.3">
      <c r="A147" s="5">
        <f t="shared" si="21"/>
        <v>46035</v>
      </c>
      <c r="B147" s="6" t="str">
        <f t="shared" si="22"/>
        <v>C</v>
      </c>
      <c r="C147" s="6" t="s">
        <v>6</v>
      </c>
      <c r="D147" s="6" t="s">
        <v>12</v>
      </c>
      <c r="E147" s="6">
        <v>19</v>
      </c>
      <c r="F147" s="6">
        <v>67</v>
      </c>
      <c r="G147" s="7">
        <v>14.254221770091551</v>
      </c>
      <c r="H147" s="6" t="str">
        <f>IF(F147="","",VLOOKUP(F147,[2]Sheet1!$B$2:$C$67,2,FALSE))</f>
        <v>Ex-Packer</v>
      </c>
      <c r="I147" s="6" t="str">
        <f>IF(D147="","",VLOOKUP(D147,[2]Sheet4!$A$1:$B$150,2,FALSE))</f>
        <v>PKC</v>
      </c>
    </row>
    <row r="148" spans="1:9" x14ac:dyDescent="0.3">
      <c r="A148" s="2">
        <f t="shared" si="21"/>
        <v>46035</v>
      </c>
      <c r="B148" s="3" t="s">
        <v>8</v>
      </c>
      <c r="C148" s="3" t="s">
        <v>9</v>
      </c>
      <c r="D148" s="3" t="s">
        <v>16</v>
      </c>
      <c r="E148" s="3">
        <v>7</v>
      </c>
      <c r="F148" s="3">
        <v>20</v>
      </c>
      <c r="G148" s="4">
        <v>13.66</v>
      </c>
      <c r="H148" s="3" t="str">
        <f>IF(F148="","",VLOOKUP(F148,[2]Sheet1!$B$2:$C$67,2,FALSE))</f>
        <v>Ex-Maker</v>
      </c>
      <c r="I148" s="3" t="str">
        <f>IF(D148="","",VLOOKUP(D148,[2]Sheet4!$A$1:$B$150,2,FALSE))</f>
        <v>YRSS</v>
      </c>
    </row>
    <row r="149" spans="1:9" x14ac:dyDescent="0.3">
      <c r="A149" s="5">
        <f t="shared" si="21"/>
        <v>46035</v>
      </c>
      <c r="B149" s="6" t="str">
        <f t="shared" si="22"/>
        <v>L</v>
      </c>
      <c r="C149" s="6" t="str">
        <f t="shared" ref="C149:C175" si="23">IF(F149="","",C148)</f>
        <v>EARLY</v>
      </c>
      <c r="D149" s="6" t="str">
        <f t="shared" ref="D149:D175" si="24">IF(F149="","",D148)</f>
        <v>T9</v>
      </c>
      <c r="E149" s="6">
        <f t="shared" ref="E149:E175" si="25">IF(F149="","",E148)</f>
        <v>7</v>
      </c>
      <c r="F149" s="6">
        <v>94</v>
      </c>
      <c r="G149" s="7">
        <v>13.98</v>
      </c>
      <c r="H149" s="6" t="str">
        <f>IF(F149="","",VLOOKUP(F149,[2]Sheet1!$B$2:$C$67,2,FALSE))</f>
        <v>Ex-Packer</v>
      </c>
      <c r="I149" s="6" t="str">
        <f>IF(D149="","",VLOOKUP(D149,[2]Sheet4!$A$1:$B$150,2,FALSE))</f>
        <v>YRSS</v>
      </c>
    </row>
    <row r="150" spans="1:9" x14ac:dyDescent="0.3">
      <c r="A150" s="2">
        <f t="shared" si="21"/>
        <v>46035</v>
      </c>
      <c r="B150" s="3" t="str">
        <f t="shared" si="22"/>
        <v>L</v>
      </c>
      <c r="C150" s="3" t="str">
        <f t="shared" si="23"/>
        <v>EARLY</v>
      </c>
      <c r="D150" s="3">
        <v>87</v>
      </c>
      <c r="E150" s="3">
        <v>11</v>
      </c>
      <c r="F150" s="3">
        <v>27</v>
      </c>
      <c r="G150" s="4">
        <v>13.82</v>
      </c>
      <c r="H150" s="3" t="str">
        <f>IF(F150="","",VLOOKUP(F150,[2]Sheet1!$B$2:$C$67,2,FALSE))</f>
        <v>Ex-Maker</v>
      </c>
      <c r="I150" s="3" t="str">
        <f>IF(D150="","",VLOOKUP(D150,[2]Sheet4!$A$1:$B$150,2,FALSE))</f>
        <v>WFP</v>
      </c>
    </row>
    <row r="151" spans="1:9" x14ac:dyDescent="0.3">
      <c r="A151" s="5">
        <f t="shared" si="21"/>
        <v>46035</v>
      </c>
      <c r="B151" s="6" t="str">
        <f t="shared" si="22"/>
        <v>L</v>
      </c>
      <c r="C151" s="6" t="str">
        <f t="shared" si="23"/>
        <v>EARLY</v>
      </c>
      <c r="D151" s="6">
        <f t="shared" si="24"/>
        <v>87</v>
      </c>
      <c r="E151" s="6">
        <f t="shared" si="25"/>
        <v>11</v>
      </c>
      <c r="F151" s="6">
        <v>40</v>
      </c>
      <c r="G151" s="7">
        <v>14.08</v>
      </c>
      <c r="H151" s="6" t="str">
        <f>IF(F151="","",VLOOKUP(F151,[2]Sheet1!$B$2:$C$67,2,FALSE))</f>
        <v>Ex-Packer</v>
      </c>
      <c r="I151" s="6" t="str">
        <f>IF(D151="","",VLOOKUP(D151,[2]Sheet4!$A$1:$B$150,2,FALSE))</f>
        <v>WFP</v>
      </c>
    </row>
    <row r="152" spans="1:9" x14ac:dyDescent="0.3">
      <c r="A152" s="2">
        <f t="shared" si="21"/>
        <v>46035</v>
      </c>
      <c r="B152" s="3" t="str">
        <f t="shared" si="22"/>
        <v>L</v>
      </c>
      <c r="C152" s="3" t="str">
        <f t="shared" si="23"/>
        <v>EARLY</v>
      </c>
      <c r="D152" s="3">
        <f t="shared" si="24"/>
        <v>87</v>
      </c>
      <c r="E152" s="3">
        <f t="shared" si="25"/>
        <v>11</v>
      </c>
      <c r="F152" s="3">
        <v>41</v>
      </c>
      <c r="G152" s="4">
        <v>14.12</v>
      </c>
      <c r="H152" s="3" t="str">
        <f>IF(F152="","",VLOOKUP(F152,[2]Sheet1!$B$2:$C$67,2,FALSE))</f>
        <v>Ex-Packer</v>
      </c>
      <c r="I152" s="3" t="str">
        <f>IF(D152="","",VLOOKUP(D152,[2]Sheet4!$A$1:$B$150,2,FALSE))</f>
        <v>WFP</v>
      </c>
    </row>
    <row r="153" spans="1:9" x14ac:dyDescent="0.3">
      <c r="A153" s="5">
        <f t="shared" si="21"/>
        <v>46035</v>
      </c>
      <c r="B153" s="6" t="str">
        <f t="shared" si="22"/>
        <v>L</v>
      </c>
      <c r="C153" s="6" t="str">
        <f t="shared" si="23"/>
        <v>EARLY</v>
      </c>
      <c r="D153" s="6" t="s">
        <v>3</v>
      </c>
      <c r="E153" s="6">
        <v>4</v>
      </c>
      <c r="F153" s="6">
        <v>78</v>
      </c>
      <c r="G153" s="7">
        <v>14.05</v>
      </c>
      <c r="H153" s="6" t="str">
        <f>IF(F153="","",VLOOKUP(F153,[2]Sheet1!$B$2:$C$67,2,FALSE))</f>
        <v>Ex-Packer</v>
      </c>
      <c r="I153" s="6" t="str">
        <f>IF(D153="","",VLOOKUP(D153,[2]Sheet4!$A$1:$B$150,2,FALSE))</f>
        <v>YTMN</v>
      </c>
    </row>
    <row r="154" spans="1:9" x14ac:dyDescent="0.3">
      <c r="A154" s="2">
        <f t="shared" si="21"/>
        <v>46035</v>
      </c>
      <c r="B154" s="3" t="str">
        <f t="shared" si="22"/>
        <v>L</v>
      </c>
      <c r="C154" s="3" t="str">
        <f t="shared" si="23"/>
        <v>EARLY</v>
      </c>
      <c r="D154" s="3" t="str">
        <f t="shared" si="24"/>
        <v>H6</v>
      </c>
      <c r="E154" s="3">
        <f t="shared" si="25"/>
        <v>4</v>
      </c>
      <c r="F154" s="3">
        <v>38</v>
      </c>
      <c r="G154" s="4">
        <v>14.93</v>
      </c>
      <c r="H154" s="3" t="str">
        <f>IF(F154="","",VLOOKUP(F154,[2]Sheet1!$B$2:$C$67,2,FALSE))</f>
        <v>Ex-Maker</v>
      </c>
      <c r="I154" s="3" t="str">
        <f>IF(D154="","",VLOOKUP(D154,[2]Sheet4!$A$1:$B$150,2,FALSE))</f>
        <v>YTMN</v>
      </c>
    </row>
    <row r="155" spans="1:9" x14ac:dyDescent="0.3">
      <c r="A155" s="5">
        <f t="shared" si="21"/>
        <v>46035</v>
      </c>
      <c r="B155" s="6" t="str">
        <f t="shared" si="22"/>
        <v>L</v>
      </c>
      <c r="C155" s="6" t="str">
        <f t="shared" si="23"/>
        <v>EARLY</v>
      </c>
      <c r="D155" s="6" t="str">
        <f t="shared" si="24"/>
        <v>H6</v>
      </c>
      <c r="E155" s="6">
        <f t="shared" si="25"/>
        <v>4</v>
      </c>
      <c r="F155" s="6">
        <v>54</v>
      </c>
      <c r="G155" s="7">
        <v>14.13</v>
      </c>
      <c r="H155" s="6" t="str">
        <f>IF(F155="","",VLOOKUP(F155,[2]Sheet1!$B$2:$C$67,2,FALSE))</f>
        <v>Ex-Packer</v>
      </c>
      <c r="I155" s="6" t="str">
        <f>IF(D155="","",VLOOKUP(D155,[2]Sheet4!$A$1:$B$150,2,FALSE))</f>
        <v>YTMN</v>
      </c>
    </row>
    <row r="156" spans="1:9" x14ac:dyDescent="0.3">
      <c r="A156" s="2">
        <f t="shared" si="21"/>
        <v>46035</v>
      </c>
      <c r="B156" s="3" t="str">
        <f t="shared" si="22"/>
        <v>L</v>
      </c>
      <c r="C156" s="3" t="str">
        <f t="shared" si="23"/>
        <v>EARLY</v>
      </c>
      <c r="D156" s="3" t="s">
        <v>0</v>
      </c>
      <c r="E156" s="3">
        <v>18</v>
      </c>
      <c r="F156" s="3">
        <v>24</v>
      </c>
      <c r="G156" s="4">
        <v>14.39</v>
      </c>
      <c r="H156" s="3" t="str">
        <f>IF(F156="","",VLOOKUP(F156,[2]Sheet1!$B$2:$C$67,2,FALSE))</f>
        <v>Ex-Maker</v>
      </c>
      <c r="I156" s="3" t="str">
        <f>IF(D156="","",VLOOKUP(D156,[2]Sheet4!$A$1:$B$150,2,FALSE))</f>
        <v>TFPM</v>
      </c>
    </row>
    <row r="157" spans="1:9" x14ac:dyDescent="0.3">
      <c r="A157" s="5">
        <f t="shared" si="21"/>
        <v>46035</v>
      </c>
      <c r="B157" s="6" t="str">
        <f t="shared" si="22"/>
        <v>L</v>
      </c>
      <c r="C157" s="6" t="str">
        <f t="shared" si="23"/>
        <v>EARLY</v>
      </c>
      <c r="D157" s="6" t="str">
        <f t="shared" si="24"/>
        <v>B2</v>
      </c>
      <c r="E157" s="6">
        <f t="shared" si="25"/>
        <v>18</v>
      </c>
      <c r="F157" s="6">
        <v>28</v>
      </c>
      <c r="G157" s="7">
        <v>14.17</v>
      </c>
      <c r="H157" s="6" t="str">
        <f>IF(F157="","",VLOOKUP(F157,[2]Sheet1!$B$2:$C$67,2,FALSE))</f>
        <v>Ex-Maker</v>
      </c>
      <c r="I157" s="6" t="str">
        <f>IF(D157="","",VLOOKUP(D157,[2]Sheet4!$A$1:$B$150,2,FALSE))</f>
        <v>TFPM</v>
      </c>
    </row>
    <row r="158" spans="1:9" x14ac:dyDescent="0.3">
      <c r="A158" s="2">
        <f t="shared" si="21"/>
        <v>46035</v>
      </c>
      <c r="B158" s="3" t="str">
        <f t="shared" si="22"/>
        <v>L</v>
      </c>
      <c r="C158" s="3" t="str">
        <f t="shared" si="23"/>
        <v>EARLY</v>
      </c>
      <c r="D158" s="3" t="str">
        <f t="shared" si="24"/>
        <v>B2</v>
      </c>
      <c r="E158" s="3">
        <f t="shared" si="25"/>
        <v>18</v>
      </c>
      <c r="F158" s="3">
        <v>46</v>
      </c>
      <c r="G158" s="4">
        <v>14.6</v>
      </c>
      <c r="H158" s="3" t="str">
        <f>IF(F158="","",VLOOKUP(F158,[2]Sheet1!$B$2:$C$67,2,FALSE))</f>
        <v>Ex-Packer</v>
      </c>
      <c r="I158" s="3" t="str">
        <f>IF(D158="","",VLOOKUP(D158,[2]Sheet4!$A$1:$B$150,2,FALSE))</f>
        <v>TFPM</v>
      </c>
    </row>
    <row r="159" spans="1:9" x14ac:dyDescent="0.3">
      <c r="A159" s="5">
        <f t="shared" si="21"/>
        <v>46035</v>
      </c>
      <c r="B159" s="6" t="str">
        <f t="shared" si="22"/>
        <v>L</v>
      </c>
      <c r="C159" s="6" t="str">
        <f t="shared" si="23"/>
        <v>EARLY</v>
      </c>
      <c r="D159" s="6" t="str">
        <f t="shared" si="24"/>
        <v>B2</v>
      </c>
      <c r="E159" s="6">
        <f t="shared" si="25"/>
        <v>18</v>
      </c>
      <c r="F159" s="6">
        <v>47</v>
      </c>
      <c r="G159" s="7">
        <v>14.81</v>
      </c>
      <c r="H159" s="6" t="str">
        <f>IF(F159="","",VLOOKUP(F159,[2]Sheet1!$B$2:$C$67,2,FALSE))</f>
        <v>Ex-Packer</v>
      </c>
      <c r="I159" s="6" t="str">
        <f>IF(D159="","",VLOOKUP(D159,[2]Sheet4!$A$1:$B$150,2,FALSE))</f>
        <v>TFPM</v>
      </c>
    </row>
    <row r="160" spans="1:9" x14ac:dyDescent="0.3">
      <c r="A160" s="2">
        <f t="shared" si="21"/>
        <v>46035</v>
      </c>
      <c r="B160" s="3" t="str">
        <f t="shared" si="22"/>
        <v>L</v>
      </c>
      <c r="C160" s="3" t="str">
        <f t="shared" si="23"/>
        <v>EARLY</v>
      </c>
      <c r="D160" s="3" t="str">
        <f t="shared" si="24"/>
        <v>B2</v>
      </c>
      <c r="E160" s="3">
        <f t="shared" si="25"/>
        <v>18</v>
      </c>
      <c r="F160" s="3">
        <v>48</v>
      </c>
      <c r="G160" s="4">
        <v>14.55</v>
      </c>
      <c r="H160" s="3" t="str">
        <f>IF(F160="","",VLOOKUP(F160,[2]Sheet1!$B$2:$C$67,2,FALSE))</f>
        <v>Ex-Packer</v>
      </c>
      <c r="I160" s="3" t="str">
        <f>IF(D160="","",VLOOKUP(D160,[2]Sheet4!$A$1:$B$150,2,FALSE))</f>
        <v>TFPM</v>
      </c>
    </row>
    <row r="161" spans="1:9" x14ac:dyDescent="0.3">
      <c r="A161" s="5">
        <f t="shared" si="21"/>
        <v>46035</v>
      </c>
      <c r="B161" s="6" t="str">
        <f t="shared" si="22"/>
        <v>L</v>
      </c>
      <c r="C161" s="6" t="str">
        <f t="shared" si="23"/>
        <v>EARLY</v>
      </c>
      <c r="D161" s="6" t="str">
        <f t="shared" si="24"/>
        <v>B2</v>
      </c>
      <c r="E161" s="6">
        <f t="shared" si="25"/>
        <v>18</v>
      </c>
      <c r="F161" s="6">
        <v>49</v>
      </c>
      <c r="G161" s="7">
        <v>14.41</v>
      </c>
      <c r="H161" s="6" t="str">
        <f>IF(F161="","",VLOOKUP(F161,[2]Sheet1!$B$2:$C$67,2,FALSE))</f>
        <v>Ex-Packer</v>
      </c>
      <c r="I161" s="6" t="str">
        <f>IF(D161="","",VLOOKUP(D161,[2]Sheet4!$A$1:$B$150,2,FALSE))</f>
        <v>TFPM</v>
      </c>
    </row>
    <row r="162" spans="1:9" x14ac:dyDescent="0.3">
      <c r="A162" s="2">
        <f t="shared" si="21"/>
        <v>46035</v>
      </c>
      <c r="B162" s="3" t="str">
        <f t="shared" si="22"/>
        <v>L</v>
      </c>
      <c r="C162" s="3" t="str">
        <f t="shared" si="23"/>
        <v>EARLY</v>
      </c>
      <c r="D162" s="3" t="s">
        <v>1</v>
      </c>
      <c r="E162" s="3">
        <v>11</v>
      </c>
      <c r="F162" s="3">
        <v>9</v>
      </c>
      <c r="G162" s="4">
        <v>14.73</v>
      </c>
      <c r="H162" s="3" t="str">
        <f>IF(F162="","",VLOOKUP(F162,[2]Sheet1!$B$2:$C$67,2,FALSE))</f>
        <v>Ex-Maker</v>
      </c>
      <c r="I162" s="3" t="str">
        <f>IF(D162="","",VLOOKUP(D162,[2]Sheet4!$A$1:$B$150,2,FALSE))</f>
        <v>YTZ</v>
      </c>
    </row>
    <row r="163" spans="1:9" x14ac:dyDescent="0.3">
      <c r="A163" s="5">
        <f t="shared" si="21"/>
        <v>46035</v>
      </c>
      <c r="B163" s="6" t="str">
        <f t="shared" si="22"/>
        <v>L</v>
      </c>
      <c r="C163" s="6" t="str">
        <f t="shared" si="23"/>
        <v>EARLY</v>
      </c>
      <c r="D163" s="6" t="str">
        <f t="shared" si="24"/>
        <v>J6</v>
      </c>
      <c r="E163" s="6">
        <f t="shared" si="25"/>
        <v>11</v>
      </c>
      <c r="F163" s="6">
        <v>11</v>
      </c>
      <c r="G163" s="7">
        <v>14.38</v>
      </c>
      <c r="H163" s="6" t="str">
        <f>IF(F163="","",VLOOKUP(F163,[2]Sheet1!$B$2:$C$67,2,FALSE))</f>
        <v>Ex-Maker</v>
      </c>
      <c r="I163" s="6" t="str">
        <f>IF(D163="","",VLOOKUP(D163,[2]Sheet4!$A$1:$B$150,2,FALSE))</f>
        <v>YTZ</v>
      </c>
    </row>
    <row r="164" spans="1:9" x14ac:dyDescent="0.3">
      <c r="A164" s="2">
        <f t="shared" si="21"/>
        <v>46035</v>
      </c>
      <c r="B164" s="3" t="str">
        <f t="shared" si="22"/>
        <v>L</v>
      </c>
      <c r="C164" s="3" t="str">
        <f t="shared" si="23"/>
        <v>EARLY</v>
      </c>
      <c r="D164" s="3" t="str">
        <f t="shared" si="24"/>
        <v>J6</v>
      </c>
      <c r="E164" s="3">
        <f t="shared" si="25"/>
        <v>11</v>
      </c>
      <c r="F164" s="3">
        <v>26</v>
      </c>
      <c r="G164" s="4">
        <v>14.42</v>
      </c>
      <c r="H164" s="3" t="str">
        <f>IF(F164="","",VLOOKUP(F164,[2]Sheet1!$B$2:$C$67,2,FALSE))</f>
        <v>Ex-Maker</v>
      </c>
      <c r="I164" s="3" t="str">
        <f>IF(D164="","",VLOOKUP(D164,[2]Sheet4!$A$1:$B$150,2,FALSE))</f>
        <v>YTZ</v>
      </c>
    </row>
    <row r="165" spans="1:9" x14ac:dyDescent="0.3">
      <c r="A165" s="5">
        <f t="shared" si="21"/>
        <v>46035</v>
      </c>
      <c r="B165" s="6" t="str">
        <f t="shared" si="22"/>
        <v>L</v>
      </c>
      <c r="C165" s="6" t="str">
        <f t="shared" si="23"/>
        <v>EARLY</v>
      </c>
      <c r="D165" s="6" t="str">
        <f t="shared" si="24"/>
        <v>J6</v>
      </c>
      <c r="E165" s="6">
        <f t="shared" si="25"/>
        <v>11</v>
      </c>
      <c r="F165" s="6">
        <v>73</v>
      </c>
      <c r="G165" s="7">
        <v>14.06</v>
      </c>
      <c r="H165" s="6" t="str">
        <f>IF(F165="","",VLOOKUP(F165,[2]Sheet1!$B$2:$C$67,2,FALSE))</f>
        <v>Ex-Packer</v>
      </c>
      <c r="I165" s="6" t="str">
        <f>IF(D165="","",VLOOKUP(D165,[2]Sheet4!$A$1:$B$150,2,FALSE))</f>
        <v>YTZ</v>
      </c>
    </row>
    <row r="166" spans="1:9" x14ac:dyDescent="0.3">
      <c r="A166" s="2">
        <f t="shared" si="21"/>
        <v>46035</v>
      </c>
      <c r="B166" s="3" t="str">
        <f t="shared" si="22"/>
        <v>L</v>
      </c>
      <c r="C166" s="3" t="str">
        <f t="shared" si="23"/>
        <v>EARLY</v>
      </c>
      <c r="D166" s="3" t="str">
        <f t="shared" si="24"/>
        <v>J6</v>
      </c>
      <c r="E166" s="3">
        <f t="shared" si="25"/>
        <v>11</v>
      </c>
      <c r="F166" s="3">
        <v>81</v>
      </c>
      <c r="G166" s="4">
        <v>14.47</v>
      </c>
      <c r="H166" s="3" t="str">
        <f>IF(F166="","",VLOOKUP(F166,[2]Sheet1!$B$2:$C$67,2,FALSE))</f>
        <v>Ex-Packer</v>
      </c>
      <c r="I166" s="3" t="str">
        <f>IF(D166="","",VLOOKUP(D166,[2]Sheet4!$A$1:$B$150,2,FALSE))</f>
        <v>YTZ</v>
      </c>
    </row>
    <row r="167" spans="1:9" x14ac:dyDescent="0.3">
      <c r="A167" s="5">
        <f t="shared" si="21"/>
        <v>46035</v>
      </c>
      <c r="B167" s="6" t="str">
        <f t="shared" si="22"/>
        <v>L</v>
      </c>
      <c r="C167" s="6" t="str">
        <f t="shared" si="23"/>
        <v>EARLY</v>
      </c>
      <c r="D167" s="6" t="str">
        <f t="shared" si="24"/>
        <v>J6</v>
      </c>
      <c r="E167" s="6">
        <f t="shared" si="25"/>
        <v>11</v>
      </c>
      <c r="F167" s="6">
        <v>95</v>
      </c>
      <c r="G167" s="7">
        <v>14.18</v>
      </c>
      <c r="H167" s="6" t="str">
        <f>IF(F167="","",VLOOKUP(F167,[2]Sheet1!$B$2:$C$67,2,FALSE))</f>
        <v>Ex-Packer</v>
      </c>
      <c r="I167" s="6" t="str">
        <f>IF(D167="","",VLOOKUP(D167,[2]Sheet4!$A$1:$B$150,2,FALSE))</f>
        <v>YTZ</v>
      </c>
    </row>
    <row r="168" spans="1:9" x14ac:dyDescent="0.3">
      <c r="A168" s="2">
        <f t="shared" si="21"/>
        <v>46035</v>
      </c>
      <c r="B168" s="3" t="str">
        <f t="shared" si="22"/>
        <v>L</v>
      </c>
      <c r="C168" s="3" t="str">
        <f t="shared" si="23"/>
        <v>EARLY</v>
      </c>
      <c r="D168" s="3" t="s">
        <v>2</v>
      </c>
      <c r="E168" s="3">
        <v>11</v>
      </c>
      <c r="F168" s="3">
        <v>35</v>
      </c>
      <c r="G168" s="4">
        <v>14.24</v>
      </c>
      <c r="H168" s="3" t="str">
        <f>IF(F168="","",VLOOKUP(F168,[2]Sheet1!$B$2:$C$67,2,FALSE))</f>
        <v>Ex-Maker</v>
      </c>
      <c r="I168" s="3" t="str">
        <f>IF(D168="","",VLOOKUP(D168,[2]Sheet4!$A$1:$B$150,2,FALSE))</f>
        <v>CRK</v>
      </c>
    </row>
    <row r="169" spans="1:9" x14ac:dyDescent="0.3">
      <c r="A169" s="5">
        <f t="shared" si="21"/>
        <v>46035</v>
      </c>
      <c r="B169" s="6" t="str">
        <f t="shared" si="22"/>
        <v>L</v>
      </c>
      <c r="C169" s="6" t="str">
        <f t="shared" si="23"/>
        <v>EARLY</v>
      </c>
      <c r="D169" s="6" t="str">
        <f t="shared" si="24"/>
        <v>H1</v>
      </c>
      <c r="E169" s="6">
        <f t="shared" si="25"/>
        <v>11</v>
      </c>
      <c r="F169" s="6">
        <v>55</v>
      </c>
      <c r="G169" s="7">
        <v>13.94</v>
      </c>
      <c r="H169" s="6" t="str">
        <f>IF(F169="","",VLOOKUP(F169,[2]Sheet1!$B$2:$C$67,2,FALSE))</f>
        <v>Ex-Packer</v>
      </c>
      <c r="I169" s="6" t="str">
        <f>IF(D169="","",VLOOKUP(D169,[2]Sheet4!$A$1:$B$150,2,FALSE))</f>
        <v>CRK</v>
      </c>
    </row>
    <row r="170" spans="1:9" x14ac:dyDescent="0.3">
      <c r="A170" s="2">
        <f t="shared" si="21"/>
        <v>46035</v>
      </c>
      <c r="B170" s="3" t="str">
        <f t="shared" si="22"/>
        <v>L</v>
      </c>
      <c r="C170" s="3" t="str">
        <f t="shared" si="23"/>
        <v>EARLY</v>
      </c>
      <c r="D170" s="3" t="str">
        <f t="shared" si="24"/>
        <v>H1</v>
      </c>
      <c r="E170" s="3">
        <f t="shared" si="25"/>
        <v>11</v>
      </c>
      <c r="F170" s="3">
        <v>56</v>
      </c>
      <c r="G170" s="4">
        <v>13.56</v>
      </c>
      <c r="H170" s="3" t="str">
        <f>IF(F170="","",VLOOKUP(F170,[2]Sheet1!$B$2:$C$67,2,FALSE))</f>
        <v>Ex-Packer</v>
      </c>
      <c r="I170" s="3" t="str">
        <f>IF(D170="","",VLOOKUP(D170,[2]Sheet4!$A$1:$B$150,2,FALSE))</f>
        <v>CRK</v>
      </c>
    </row>
    <row r="171" spans="1:9" x14ac:dyDescent="0.3">
      <c r="A171" s="5">
        <f t="shared" si="21"/>
        <v>46035</v>
      </c>
      <c r="B171" s="6" t="str">
        <f t="shared" si="22"/>
        <v>L</v>
      </c>
      <c r="C171" s="6" t="str">
        <f t="shared" si="23"/>
        <v>EARLY</v>
      </c>
      <c r="D171" s="6" t="s">
        <v>4</v>
      </c>
      <c r="E171" s="6">
        <v>10</v>
      </c>
      <c r="F171" s="6">
        <v>10</v>
      </c>
      <c r="G171" s="7">
        <v>13.48</v>
      </c>
      <c r="H171" s="6" t="str">
        <f>IF(F171="","",VLOOKUP(F171,[2]Sheet1!$B$2:$C$67,2,FALSE))</f>
        <v>Ex-Maker</v>
      </c>
      <c r="I171" s="6" t="str">
        <f>IF(D171="","",VLOOKUP(D171,[2]Sheet4!$A$1:$B$150,2,FALSE))</f>
        <v>CJQ</v>
      </c>
    </row>
    <row r="172" spans="1:9" x14ac:dyDescent="0.3">
      <c r="A172" s="2">
        <f t="shared" si="21"/>
        <v>46035</v>
      </c>
      <c r="B172" s="3" t="str">
        <f t="shared" si="22"/>
        <v>L</v>
      </c>
      <c r="C172" s="3" t="str">
        <f t="shared" si="23"/>
        <v>EARLY</v>
      </c>
      <c r="D172" s="3" t="str">
        <f t="shared" si="24"/>
        <v>H3</v>
      </c>
      <c r="E172" s="3">
        <f t="shared" si="25"/>
        <v>10</v>
      </c>
      <c r="F172" s="3">
        <v>52</v>
      </c>
      <c r="G172" s="4">
        <v>13.61</v>
      </c>
      <c r="H172" s="3" t="str">
        <f>IF(F172="","",VLOOKUP(F172,[2]Sheet1!$B$2:$C$67,2,FALSE))</f>
        <v>Ex-Packer</v>
      </c>
      <c r="I172" s="3" t="str">
        <f>IF(D172="","",VLOOKUP(D172,[2]Sheet4!$A$1:$B$150,2,FALSE))</f>
        <v>CJQ</v>
      </c>
    </row>
    <row r="173" spans="1:9" x14ac:dyDescent="0.3">
      <c r="A173" s="5">
        <f t="shared" si="21"/>
        <v>46035</v>
      </c>
      <c r="B173" s="6" t="s">
        <v>5</v>
      </c>
      <c r="C173" s="6" t="s">
        <v>10</v>
      </c>
      <c r="D173" s="6" t="s">
        <v>3</v>
      </c>
      <c r="E173" s="6">
        <v>4</v>
      </c>
      <c r="F173" s="6">
        <v>54</v>
      </c>
      <c r="G173" s="7">
        <v>13.98</v>
      </c>
      <c r="H173" s="6" t="str">
        <f>IF(F173="","",VLOOKUP(F173,[2]Sheet1!$B$2:$C$67,2,FALSE))</f>
        <v>Ex-Packer</v>
      </c>
      <c r="I173" s="6" t="str">
        <f>IF(D173="","",VLOOKUP(D173,[2]Sheet4!$A$1:$B$150,2,FALSE))</f>
        <v>YTMN</v>
      </c>
    </row>
    <row r="174" spans="1:9" x14ac:dyDescent="0.3">
      <c r="A174" s="2">
        <f t="shared" si="21"/>
        <v>46035</v>
      </c>
      <c r="B174" s="3" t="str">
        <f t="shared" si="22"/>
        <v>D</v>
      </c>
      <c r="C174" s="3" t="str">
        <f t="shared" si="23"/>
        <v>LATE</v>
      </c>
      <c r="D174" s="3" t="s">
        <v>1</v>
      </c>
      <c r="E174" s="3">
        <v>11</v>
      </c>
      <c r="F174" s="3">
        <v>9</v>
      </c>
      <c r="G174" s="4">
        <v>13.97</v>
      </c>
      <c r="H174" s="3" t="str">
        <f>IF(F174="","",VLOOKUP(F174,[2]Sheet1!$B$2:$C$67,2,FALSE))</f>
        <v>Ex-Maker</v>
      </c>
      <c r="I174" s="3" t="str">
        <f>IF(D174="","",VLOOKUP(D174,[2]Sheet4!$A$1:$B$150,2,FALSE))</f>
        <v>YTZ</v>
      </c>
    </row>
    <row r="175" spans="1:9" x14ac:dyDescent="0.3">
      <c r="A175" s="5">
        <f t="shared" si="21"/>
        <v>46035</v>
      </c>
      <c r="B175" s="6" t="str">
        <f t="shared" si="22"/>
        <v>D</v>
      </c>
      <c r="C175" s="6" t="str">
        <f t="shared" si="23"/>
        <v>LATE</v>
      </c>
      <c r="D175" s="6" t="str">
        <f t="shared" si="24"/>
        <v>J6</v>
      </c>
      <c r="E175" s="6">
        <f t="shared" si="25"/>
        <v>11</v>
      </c>
      <c r="F175" s="6">
        <v>11</v>
      </c>
      <c r="G175" s="7">
        <v>13.95</v>
      </c>
      <c r="H175" s="6" t="str">
        <f>IF(F175="","",VLOOKUP(F175,[2]Sheet1!$B$2:$C$67,2,FALSE))</f>
        <v>Ex-Maker</v>
      </c>
      <c r="I175" s="6" t="str">
        <f>IF(D175="","",VLOOKUP(D175,[2]Sheet4!$A$1:$B$150,2,FALSE))</f>
        <v>YTZ</v>
      </c>
    </row>
  </sheetData>
  <conditionalFormatting sqref="G2:G175">
    <cfRule type="cellIs" dxfId="16" priority="1" operator="greaterThan">
      <formula>14.51</formula>
    </cfRule>
    <cfRule type="cellIs" dxfId="15" priority="2" operator="lessThan">
      <formula>13.01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BD4-D40D-4C6B-B82C-A0442094CA8D}">
  <dimension ref="A2:H43"/>
  <sheetViews>
    <sheetView workbookViewId="0">
      <selection activeCell="A2" sqref="A2"/>
    </sheetView>
  </sheetViews>
  <sheetFormatPr defaultRowHeight="14.4" x14ac:dyDescent="0.3"/>
  <cols>
    <col min="1" max="1" width="18" bestFit="1" customWidth="1"/>
  </cols>
  <sheetData>
    <row r="2" spans="1:8" x14ac:dyDescent="0.3">
      <c r="A2" s="11" t="s">
        <v>26</v>
      </c>
      <c r="B2" s="11"/>
      <c r="C2" s="11" t="s">
        <v>27</v>
      </c>
      <c r="D2" s="11" t="s">
        <v>18</v>
      </c>
      <c r="E2" s="11"/>
      <c r="F2" s="11"/>
      <c r="G2" s="11"/>
      <c r="H2" s="11"/>
    </row>
    <row r="3" spans="1:8" x14ac:dyDescent="0.3">
      <c r="A3" s="11"/>
      <c r="B3" s="11"/>
      <c r="C3" s="11" t="s">
        <v>28</v>
      </c>
      <c r="D3" s="11"/>
      <c r="E3" s="11"/>
      <c r="F3" s="11" t="s">
        <v>29</v>
      </c>
      <c r="G3" s="11"/>
      <c r="H3" s="11"/>
    </row>
    <row r="4" spans="1:8" x14ac:dyDescent="0.3">
      <c r="A4" s="11" t="s">
        <v>25</v>
      </c>
      <c r="B4" s="11" t="s">
        <v>21</v>
      </c>
      <c r="C4" s="11" t="s">
        <v>9</v>
      </c>
      <c r="D4" s="11" t="s">
        <v>10</v>
      </c>
      <c r="E4" s="11" t="s">
        <v>6</v>
      </c>
      <c r="F4" s="11" t="s">
        <v>9</v>
      </c>
      <c r="G4" s="11" t="s">
        <v>10</v>
      </c>
      <c r="H4" s="11" t="s">
        <v>6</v>
      </c>
    </row>
    <row r="5" spans="1:8" x14ac:dyDescent="0.3">
      <c r="A5" s="12" t="s">
        <v>30</v>
      </c>
      <c r="B5" s="6">
        <v>625</v>
      </c>
      <c r="C5" s="7">
        <v>13.414216156874806</v>
      </c>
      <c r="D5" s="7">
        <v>15.04521891693966</v>
      </c>
      <c r="E5" s="7"/>
      <c r="F5" s="7">
        <v>12.876540194737748</v>
      </c>
      <c r="G5" s="7">
        <v>15.096376274139706</v>
      </c>
      <c r="H5" s="7"/>
    </row>
    <row r="6" spans="1:8" x14ac:dyDescent="0.3">
      <c r="A6" s="12"/>
      <c r="B6" s="6">
        <v>626</v>
      </c>
      <c r="C6" s="7"/>
      <c r="D6" s="7"/>
      <c r="E6" s="7">
        <v>13.423710349179336</v>
      </c>
      <c r="F6" s="7"/>
      <c r="G6" s="7"/>
      <c r="H6" s="7">
        <v>12.633524962289362</v>
      </c>
    </row>
    <row r="7" spans="1:8" x14ac:dyDescent="0.3">
      <c r="A7" s="12"/>
      <c r="B7" s="6">
        <v>627</v>
      </c>
      <c r="C7" s="7">
        <v>12.391677176121098</v>
      </c>
      <c r="D7" s="7"/>
      <c r="E7" s="7"/>
      <c r="F7" s="7">
        <v>12.130223652206658</v>
      </c>
      <c r="G7" s="7"/>
      <c r="H7" s="7"/>
    </row>
    <row r="8" spans="1:8" x14ac:dyDescent="0.3">
      <c r="A8" s="12"/>
      <c r="B8" s="6">
        <v>629</v>
      </c>
      <c r="C8" s="7"/>
      <c r="D8" s="7">
        <v>13.526258905665978</v>
      </c>
      <c r="E8" s="7"/>
      <c r="F8" s="7"/>
      <c r="G8" s="7">
        <v>13.239195467627695</v>
      </c>
      <c r="H8" s="7"/>
    </row>
    <row r="9" spans="1:8" x14ac:dyDescent="0.3">
      <c r="A9" s="12"/>
      <c r="B9" s="6">
        <v>630</v>
      </c>
      <c r="C9" s="7"/>
      <c r="D9" s="7"/>
      <c r="E9" s="7">
        <v>12.987948122999285</v>
      </c>
      <c r="F9" s="7"/>
      <c r="G9" s="7"/>
      <c r="H9" s="7">
        <v>13.154261163696949</v>
      </c>
    </row>
    <row r="10" spans="1:8" x14ac:dyDescent="0.3">
      <c r="A10" s="12" t="s">
        <v>31</v>
      </c>
      <c r="B10" s="6">
        <v>2</v>
      </c>
      <c r="C10" s="7">
        <v>12.109066652219008</v>
      </c>
      <c r="D10" s="7">
        <v>12.418344321581008</v>
      </c>
      <c r="E10" s="7">
        <v>12.745697702302252</v>
      </c>
      <c r="F10" s="7">
        <v>11.942483213212531</v>
      </c>
      <c r="G10" s="7">
        <v>12.818447238344934</v>
      </c>
      <c r="H10" s="7">
        <v>10.906397232985091</v>
      </c>
    </row>
    <row r="11" spans="1:8" x14ac:dyDescent="0.3">
      <c r="A11" s="12" t="s">
        <v>32</v>
      </c>
      <c r="B11" s="6">
        <v>20</v>
      </c>
      <c r="C11" s="7">
        <v>13.55</v>
      </c>
      <c r="D11" s="7"/>
      <c r="E11" s="7"/>
      <c r="F11" s="7">
        <v>13.85</v>
      </c>
      <c r="G11" s="7"/>
      <c r="H11" s="7"/>
    </row>
    <row r="12" spans="1:8" x14ac:dyDescent="0.3">
      <c r="A12" s="12" t="s">
        <v>33</v>
      </c>
      <c r="B12" s="6">
        <v>37</v>
      </c>
      <c r="C12" s="7"/>
      <c r="D12" s="7">
        <v>13.785</v>
      </c>
      <c r="E12" s="7">
        <v>13.53</v>
      </c>
      <c r="F12" s="7"/>
      <c r="G12" s="7">
        <v>13.96</v>
      </c>
      <c r="H12" s="7">
        <v>13.44</v>
      </c>
    </row>
    <row r="13" spans="1:8" x14ac:dyDescent="0.3">
      <c r="A13" s="12" t="s">
        <v>34</v>
      </c>
      <c r="B13" s="6">
        <v>11</v>
      </c>
      <c r="C13" s="7">
        <v>13.65</v>
      </c>
      <c r="D13" s="7">
        <v>12.85</v>
      </c>
      <c r="E13" s="7"/>
      <c r="F13" s="7">
        <v>13.6</v>
      </c>
      <c r="G13" s="7">
        <v>12.95</v>
      </c>
      <c r="H13" s="7"/>
    </row>
    <row r="14" spans="1:8" x14ac:dyDescent="0.3">
      <c r="A14" s="12" t="s">
        <v>35</v>
      </c>
      <c r="B14" s="6">
        <v>15</v>
      </c>
      <c r="C14" s="7">
        <v>13.85</v>
      </c>
      <c r="D14" s="7"/>
      <c r="E14" s="7"/>
      <c r="F14" s="7">
        <v>13.51</v>
      </c>
      <c r="G14" s="7"/>
      <c r="H14" s="7"/>
    </row>
    <row r="15" spans="1:8" x14ac:dyDescent="0.3">
      <c r="A15" s="12"/>
      <c r="B15" s="6">
        <v>16</v>
      </c>
      <c r="C15" s="7"/>
      <c r="D15" s="7">
        <v>13.3</v>
      </c>
      <c r="E15" s="7">
        <v>13.98</v>
      </c>
      <c r="F15" s="7"/>
      <c r="G15" s="7">
        <v>13.440000000000001</v>
      </c>
      <c r="H15" s="7">
        <v>13.899999999999999</v>
      </c>
    </row>
    <row r="16" spans="1:8" x14ac:dyDescent="0.3">
      <c r="A16" s="12"/>
      <c r="B16" s="6">
        <v>17</v>
      </c>
      <c r="C16" s="7">
        <v>13.47</v>
      </c>
      <c r="D16" s="7">
        <v>13.66</v>
      </c>
      <c r="E16" s="7"/>
      <c r="F16" s="7">
        <v>13.280000000000001</v>
      </c>
      <c r="G16" s="7">
        <v>13.663333333333334</v>
      </c>
      <c r="H16" s="7"/>
    </row>
    <row r="17" spans="1:8" x14ac:dyDescent="0.3">
      <c r="A17" s="12"/>
      <c r="B17" s="6">
        <v>18</v>
      </c>
      <c r="C17" s="7"/>
      <c r="D17" s="7"/>
      <c r="E17" s="7">
        <v>13.04</v>
      </c>
      <c r="F17" s="7"/>
      <c r="G17" s="7"/>
      <c r="H17" s="7">
        <v>13.433333333333332</v>
      </c>
    </row>
    <row r="18" spans="1:8" x14ac:dyDescent="0.3">
      <c r="A18" s="12" t="s">
        <v>36</v>
      </c>
      <c r="B18" s="6">
        <v>9</v>
      </c>
      <c r="C18" s="7"/>
      <c r="D18" s="7">
        <v>13.46</v>
      </c>
      <c r="E18" s="7"/>
      <c r="F18" s="7"/>
      <c r="G18" s="7">
        <v>13.18</v>
      </c>
      <c r="H18" s="7"/>
    </row>
    <row r="19" spans="1:8" x14ac:dyDescent="0.3">
      <c r="A19" s="12" t="s">
        <v>37</v>
      </c>
      <c r="B19" s="6">
        <v>11</v>
      </c>
      <c r="C19" s="7"/>
      <c r="D19" s="7"/>
      <c r="E19" s="7">
        <v>12.82</v>
      </c>
      <c r="F19" s="7"/>
      <c r="G19" s="7"/>
      <c r="H19" s="7">
        <v>13.55</v>
      </c>
    </row>
    <row r="20" spans="1:8" x14ac:dyDescent="0.3">
      <c r="A20" s="12" t="s">
        <v>38</v>
      </c>
      <c r="B20" s="6">
        <v>21</v>
      </c>
      <c r="C20" s="7"/>
      <c r="D20" s="7"/>
      <c r="E20" s="7">
        <v>12.41</v>
      </c>
      <c r="F20" s="7"/>
      <c r="G20" s="7"/>
      <c r="H20" s="7">
        <v>12.65</v>
      </c>
    </row>
    <row r="21" spans="1:8" x14ac:dyDescent="0.3">
      <c r="A21" s="12" t="s">
        <v>39</v>
      </c>
      <c r="B21" s="6">
        <v>10</v>
      </c>
      <c r="C21" s="7">
        <v>14.04</v>
      </c>
      <c r="D21" s="7"/>
      <c r="E21" s="7"/>
      <c r="F21" s="7">
        <v>13.74</v>
      </c>
      <c r="G21" s="7"/>
      <c r="H21" s="7"/>
    </row>
    <row r="22" spans="1:8" x14ac:dyDescent="0.3">
      <c r="A22" s="12"/>
      <c r="B22" s="6">
        <v>11</v>
      </c>
      <c r="C22" s="7">
        <v>13.23</v>
      </c>
      <c r="D22" s="7">
        <v>13.282500000000001</v>
      </c>
      <c r="E22" s="7">
        <v>12.695</v>
      </c>
      <c r="F22" s="7">
        <v>13.356666666666667</v>
      </c>
      <c r="G22" s="7">
        <v>13.40375</v>
      </c>
      <c r="H22" s="7">
        <v>12.699999999999998</v>
      </c>
    </row>
    <row r="23" spans="1:8" x14ac:dyDescent="0.3">
      <c r="A23" s="12"/>
      <c r="B23" s="6">
        <v>12</v>
      </c>
      <c r="C23" s="7"/>
      <c r="D23" s="7"/>
      <c r="E23" s="7">
        <v>13.965</v>
      </c>
      <c r="F23" s="7"/>
      <c r="G23" s="7"/>
      <c r="H23" s="7">
        <v>14.062499999999998</v>
      </c>
    </row>
    <row r="24" spans="1:8" x14ac:dyDescent="0.3">
      <c r="A24" s="12" t="s">
        <v>40</v>
      </c>
      <c r="B24" s="6">
        <v>27</v>
      </c>
      <c r="C24" s="7">
        <v>13.25</v>
      </c>
      <c r="D24" s="7"/>
      <c r="E24" s="7"/>
      <c r="F24" s="7">
        <v>13.282500000000001</v>
      </c>
      <c r="G24" s="7"/>
      <c r="H24" s="7"/>
    </row>
    <row r="25" spans="1:8" x14ac:dyDescent="0.3">
      <c r="A25" s="12"/>
      <c r="B25" s="6">
        <v>28</v>
      </c>
      <c r="C25" s="7"/>
      <c r="D25" s="7">
        <v>13.365</v>
      </c>
      <c r="E25" s="7"/>
      <c r="F25" s="7"/>
      <c r="G25" s="7">
        <v>13.407500000000001</v>
      </c>
      <c r="H25" s="7"/>
    </row>
    <row r="26" spans="1:8" x14ac:dyDescent="0.3">
      <c r="A26" s="12"/>
      <c r="B26" s="6">
        <v>29</v>
      </c>
      <c r="C26" s="7">
        <v>13.87</v>
      </c>
      <c r="D26" s="7"/>
      <c r="E26" s="7">
        <v>13.455</v>
      </c>
      <c r="F26" s="7">
        <v>13.692499999999999</v>
      </c>
      <c r="G26" s="7"/>
      <c r="H26" s="7">
        <v>13.682499999999999</v>
      </c>
    </row>
    <row r="27" spans="1:8" x14ac:dyDescent="0.3">
      <c r="A27" s="12"/>
      <c r="B27" s="6">
        <v>30</v>
      </c>
      <c r="C27" s="7"/>
      <c r="D27" s="7">
        <v>14.13</v>
      </c>
      <c r="E27" s="7"/>
      <c r="F27" s="7"/>
      <c r="G27" s="7">
        <v>14.141666666666666</v>
      </c>
      <c r="H27" s="7"/>
    </row>
    <row r="28" spans="1:8" x14ac:dyDescent="0.3">
      <c r="A28" s="12"/>
      <c r="B28" s="6">
        <v>32</v>
      </c>
      <c r="C28" s="7"/>
      <c r="D28" s="7"/>
      <c r="E28" s="7">
        <v>14.133333333333333</v>
      </c>
      <c r="F28" s="7"/>
      <c r="G28" s="7"/>
      <c r="H28" s="7">
        <v>14.213333333333333</v>
      </c>
    </row>
    <row r="29" spans="1:8" x14ac:dyDescent="0.3">
      <c r="A29" s="12" t="s">
        <v>41</v>
      </c>
      <c r="B29" s="6">
        <v>6</v>
      </c>
      <c r="C29" s="7">
        <v>13.06</v>
      </c>
      <c r="D29" s="7">
        <v>12.92</v>
      </c>
      <c r="E29" s="7"/>
      <c r="F29" s="7">
        <v>13.105</v>
      </c>
      <c r="G29" s="7">
        <v>13.17</v>
      </c>
      <c r="H29" s="7"/>
    </row>
    <row r="30" spans="1:8" x14ac:dyDescent="0.3">
      <c r="A30" s="12"/>
      <c r="B30" s="6">
        <v>7</v>
      </c>
      <c r="C30" s="7">
        <v>13.42</v>
      </c>
      <c r="D30" s="7"/>
      <c r="E30" s="7">
        <v>11.95</v>
      </c>
      <c r="F30" s="7">
        <v>13.785</v>
      </c>
      <c r="G30" s="7"/>
      <c r="H30" s="7">
        <v>11.71</v>
      </c>
    </row>
    <row r="31" spans="1:8" x14ac:dyDescent="0.3">
      <c r="A31" s="12" t="s">
        <v>42</v>
      </c>
      <c r="B31" s="6">
        <v>12</v>
      </c>
      <c r="C31" s="7">
        <v>13.865</v>
      </c>
      <c r="D31" s="7">
        <v>13.98</v>
      </c>
      <c r="E31" s="7">
        <v>13.34</v>
      </c>
      <c r="F31" s="7">
        <v>13.86</v>
      </c>
      <c r="G31" s="7">
        <v>13.8</v>
      </c>
      <c r="H31" s="7">
        <v>13.67</v>
      </c>
    </row>
    <row r="32" spans="1:8" x14ac:dyDescent="0.3">
      <c r="A32" s="12"/>
      <c r="B32" s="6">
        <v>13</v>
      </c>
      <c r="C32" s="7"/>
      <c r="D32" s="7">
        <v>14.01</v>
      </c>
      <c r="E32" s="7">
        <v>14.03</v>
      </c>
      <c r="F32" s="7"/>
      <c r="G32" s="7">
        <v>14.085000000000001</v>
      </c>
      <c r="H32" s="7">
        <v>13.79</v>
      </c>
    </row>
    <row r="33" spans="1:8" x14ac:dyDescent="0.3">
      <c r="A33" s="12" t="s">
        <v>43</v>
      </c>
      <c r="B33" s="6">
        <v>12</v>
      </c>
      <c r="C33" s="7">
        <v>12.74</v>
      </c>
      <c r="D33" s="7"/>
      <c r="E33" s="7"/>
      <c r="F33" s="7">
        <v>12.79</v>
      </c>
      <c r="G33" s="7">
        <v>13.11</v>
      </c>
      <c r="H33" s="7"/>
    </row>
    <row r="34" spans="1:8" x14ac:dyDescent="0.3">
      <c r="A34" s="12" t="s">
        <v>44</v>
      </c>
      <c r="B34" s="6">
        <v>3</v>
      </c>
      <c r="C34" s="7">
        <v>13.386666666666665</v>
      </c>
      <c r="D34" s="7">
        <v>12.79</v>
      </c>
      <c r="E34" s="7">
        <v>12.8</v>
      </c>
      <c r="F34" s="7">
        <v>13.4</v>
      </c>
      <c r="G34" s="7">
        <v>12.73</v>
      </c>
      <c r="H34" s="7">
        <v>12.81</v>
      </c>
    </row>
    <row r="35" spans="1:8" x14ac:dyDescent="0.3">
      <c r="A35" s="12"/>
      <c r="B35" s="6">
        <v>4</v>
      </c>
      <c r="C35" s="7"/>
      <c r="D35" s="7">
        <v>13.47</v>
      </c>
      <c r="E35" s="7">
        <v>13.53</v>
      </c>
      <c r="F35" s="7"/>
      <c r="G35" s="7">
        <v>13.43</v>
      </c>
      <c r="H35" s="7">
        <v>13.72</v>
      </c>
    </row>
    <row r="36" spans="1:8" x14ac:dyDescent="0.3">
      <c r="A36" s="12" t="s">
        <v>45</v>
      </c>
      <c r="B36" s="6">
        <v>1</v>
      </c>
      <c r="C36" s="7"/>
      <c r="D36" s="7">
        <v>13.81</v>
      </c>
      <c r="E36" s="7"/>
      <c r="F36" s="7"/>
      <c r="G36" s="7">
        <v>13.89</v>
      </c>
      <c r="H36" s="7"/>
    </row>
    <row r="37" spans="1:8" x14ac:dyDescent="0.3">
      <c r="A37" s="12" t="s">
        <v>46</v>
      </c>
      <c r="B37" s="6">
        <v>16</v>
      </c>
      <c r="C37" s="7">
        <v>13.362</v>
      </c>
      <c r="D37" s="7"/>
      <c r="E37" s="7"/>
      <c r="F37" s="7">
        <v>13.412500000000001</v>
      </c>
      <c r="G37" s="7"/>
      <c r="H37" s="7"/>
    </row>
    <row r="38" spans="1:8" x14ac:dyDescent="0.3">
      <c r="A38" s="12"/>
      <c r="B38" s="6">
        <v>17</v>
      </c>
      <c r="C38" s="7"/>
      <c r="D38" s="7">
        <v>12.784000000000001</v>
      </c>
      <c r="E38" s="7"/>
      <c r="F38" s="7"/>
      <c r="G38" s="7">
        <v>12.952500000000001</v>
      </c>
      <c r="H38" s="7"/>
    </row>
    <row r="39" spans="1:8" x14ac:dyDescent="0.3">
      <c r="A39" s="12"/>
      <c r="B39" s="6">
        <v>18</v>
      </c>
      <c r="C39" s="7">
        <v>13.549999999999997</v>
      </c>
      <c r="D39" s="7"/>
      <c r="E39" s="7">
        <v>13.1</v>
      </c>
      <c r="F39" s="7">
        <v>13.580000000000002</v>
      </c>
      <c r="G39" s="7"/>
      <c r="H39" s="7">
        <v>12.99</v>
      </c>
    </row>
    <row r="40" spans="1:8" x14ac:dyDescent="0.3">
      <c r="A40" s="12"/>
      <c r="B40" s="6">
        <v>19</v>
      </c>
      <c r="C40" s="7"/>
      <c r="D40" s="7">
        <v>13.567499999999999</v>
      </c>
      <c r="E40" s="7">
        <v>13.586666666666666</v>
      </c>
      <c r="F40" s="7"/>
      <c r="G40" s="7">
        <v>13.716666666666667</v>
      </c>
      <c r="H40" s="7">
        <v>13.653333333333334</v>
      </c>
    </row>
    <row r="41" spans="1:8" x14ac:dyDescent="0.3">
      <c r="A41" s="12" t="s">
        <v>47</v>
      </c>
      <c r="B41" s="6">
        <v>1</v>
      </c>
      <c r="C41" s="7"/>
      <c r="D41" s="7"/>
      <c r="E41" s="7"/>
      <c r="F41" s="7"/>
      <c r="G41" s="7">
        <v>11.379999999999999</v>
      </c>
      <c r="H41" s="7"/>
    </row>
    <row r="42" spans="1:8" x14ac:dyDescent="0.3">
      <c r="A42" s="12" t="s">
        <v>48</v>
      </c>
      <c r="B42" s="6">
        <v>9</v>
      </c>
      <c r="C42" s="7"/>
      <c r="D42" s="7"/>
      <c r="E42" s="7">
        <v>13.43</v>
      </c>
      <c r="F42" s="7"/>
      <c r="G42" s="7"/>
      <c r="H42" s="7">
        <v>13.28</v>
      </c>
    </row>
    <row r="43" spans="1:8" x14ac:dyDescent="0.3">
      <c r="A43" s="11" t="s">
        <v>49</v>
      </c>
      <c r="B43" s="11"/>
      <c r="C43" s="13">
        <v>13.222128545130326</v>
      </c>
      <c r="D43" s="13">
        <v>13.472236660814001</v>
      </c>
      <c r="E43" s="13">
        <v>13.27465050063358</v>
      </c>
      <c r="F43" s="13">
        <v>13.28141127459314</v>
      </c>
      <c r="G43" s="13">
        <v>13.497701994581673</v>
      </c>
      <c r="H43" s="13">
        <v>13.252991177978709</v>
      </c>
    </row>
  </sheetData>
  <conditionalFormatting sqref="C2:H3 E4:H4">
    <cfRule type="cellIs" dxfId="14" priority="10" operator="lessThan">
      <formula>12.5</formula>
    </cfRule>
  </conditionalFormatting>
  <conditionalFormatting sqref="C2:H3">
    <cfRule type="cellIs" dxfId="13" priority="2" operator="greaterThan">
      <formula>14.5</formula>
    </cfRule>
  </conditionalFormatting>
  <conditionalFormatting sqref="E4:H4">
    <cfRule type="cellIs" dxfId="12" priority="11" operator="greaterThan">
      <formula>14.5</formula>
    </cfRule>
  </conditionalFormatting>
  <conditionalFormatting sqref="F2:H4">
    <cfRule type="cellIs" dxfId="11" priority="1" operator="greaterThan">
      <formula>14.5</formula>
    </cfRule>
    <cfRule type="cellIs" dxfId="10" priority="8" operator="lessThan">
      <formula>12.5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579D-2FB3-4B27-9287-6890278AA4ED}">
  <dimension ref="A1:J332"/>
  <sheetViews>
    <sheetView workbookViewId="0">
      <selection activeCell="H10" sqref="H10"/>
    </sheetView>
  </sheetViews>
  <sheetFormatPr defaultRowHeight="14.4" x14ac:dyDescent="0.3"/>
  <cols>
    <col min="1" max="1" width="10.44140625" bestFit="1" customWidth="1"/>
    <col min="2" max="2" width="15.5546875" bestFit="1" customWidth="1"/>
    <col min="6" max="6" width="17.44140625" customWidth="1"/>
  </cols>
  <sheetData>
    <row r="1" spans="1:10" x14ac:dyDescent="0.3">
      <c r="A1" t="s">
        <v>17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21</v>
      </c>
      <c r="I1" t="s">
        <v>84</v>
      </c>
      <c r="J1" t="s">
        <v>85</v>
      </c>
    </row>
    <row r="2" spans="1:10" ht="13.95" customHeight="1" x14ac:dyDescent="0.3">
      <c r="A2" s="14">
        <v>46036</v>
      </c>
      <c r="B2" s="15">
        <v>46036.657638888886</v>
      </c>
      <c r="C2" s="16">
        <v>11</v>
      </c>
      <c r="D2" s="16" t="s">
        <v>8</v>
      </c>
      <c r="E2" s="16" t="s">
        <v>5</v>
      </c>
      <c r="F2" s="16" t="s">
        <v>50</v>
      </c>
      <c r="G2" s="16" t="s">
        <v>51</v>
      </c>
      <c r="H2" s="16">
        <v>12</v>
      </c>
      <c r="I2" s="16">
        <v>166.2</v>
      </c>
      <c r="J2" s="16">
        <v>169</v>
      </c>
    </row>
    <row r="3" spans="1:10" ht="13.95" customHeight="1" x14ac:dyDescent="0.3">
      <c r="A3" s="14">
        <v>46036</v>
      </c>
      <c r="B3" s="15">
        <v>46036.654861111114</v>
      </c>
      <c r="C3" s="16">
        <v>11</v>
      </c>
      <c r="D3" s="16" t="s">
        <v>8</v>
      </c>
      <c r="E3" s="16" t="s">
        <v>5</v>
      </c>
      <c r="F3" s="16" t="s">
        <v>50</v>
      </c>
      <c r="G3" s="16" t="s">
        <v>51</v>
      </c>
      <c r="H3" s="16">
        <v>12</v>
      </c>
      <c r="I3" s="16">
        <v>166.2</v>
      </c>
      <c r="J3" s="16">
        <v>169.05</v>
      </c>
    </row>
    <row r="4" spans="1:10" ht="13.95" customHeight="1" x14ac:dyDescent="0.3">
      <c r="A4" s="14">
        <v>46036</v>
      </c>
      <c r="B4" s="15">
        <v>46036.654861111114</v>
      </c>
      <c r="C4" s="16">
        <v>11</v>
      </c>
      <c r="D4" s="16" t="s">
        <v>8</v>
      </c>
      <c r="E4" s="16" t="s">
        <v>5</v>
      </c>
      <c r="F4" s="16" t="s">
        <v>50</v>
      </c>
      <c r="G4" s="16" t="s">
        <v>51</v>
      </c>
      <c r="H4" s="16">
        <v>12</v>
      </c>
      <c r="I4" s="16">
        <v>166.2</v>
      </c>
      <c r="J4" s="16">
        <v>169.05</v>
      </c>
    </row>
    <row r="5" spans="1:10" ht="13.95" customHeight="1" x14ac:dyDescent="0.3">
      <c r="A5" s="14">
        <v>46036</v>
      </c>
      <c r="B5" s="15">
        <v>46036.654166666667</v>
      </c>
      <c r="C5" s="16">
        <v>38</v>
      </c>
      <c r="D5" s="16" t="s">
        <v>8</v>
      </c>
      <c r="E5" s="16" t="s">
        <v>5</v>
      </c>
      <c r="F5" s="16" t="s">
        <v>52</v>
      </c>
      <c r="G5" s="16" t="s">
        <v>53</v>
      </c>
      <c r="H5" s="16">
        <v>5</v>
      </c>
      <c r="I5" s="16">
        <v>277.8</v>
      </c>
      <c r="J5" s="16">
        <v>276.60000000000002</v>
      </c>
    </row>
    <row r="6" spans="1:10" ht="13.95" customHeight="1" x14ac:dyDescent="0.3">
      <c r="A6" s="14">
        <v>46036</v>
      </c>
      <c r="B6" s="15">
        <v>46036.65347222222</v>
      </c>
      <c r="C6" s="16">
        <v>10</v>
      </c>
      <c r="D6" s="16" t="s">
        <v>8</v>
      </c>
      <c r="E6" s="16" t="s">
        <v>5</v>
      </c>
      <c r="F6" s="16" t="s">
        <v>54</v>
      </c>
      <c r="G6" s="16" t="s">
        <v>55</v>
      </c>
      <c r="H6" s="16">
        <v>1</v>
      </c>
      <c r="I6" s="16">
        <v>278.10000000000002</v>
      </c>
      <c r="J6" s="16">
        <v>278.68</v>
      </c>
    </row>
    <row r="7" spans="1:10" ht="13.95" customHeight="1" x14ac:dyDescent="0.3">
      <c r="A7" s="14">
        <v>46036</v>
      </c>
      <c r="B7" s="15">
        <v>46036.65</v>
      </c>
      <c r="C7" s="16">
        <v>28</v>
      </c>
      <c r="D7" s="16" t="s">
        <v>8</v>
      </c>
      <c r="E7" s="16" t="s">
        <v>5</v>
      </c>
      <c r="F7" s="16" t="s">
        <v>56</v>
      </c>
      <c r="G7" s="16" t="s">
        <v>57</v>
      </c>
      <c r="H7" s="16">
        <v>20</v>
      </c>
      <c r="I7" s="16">
        <v>249</v>
      </c>
      <c r="J7" s="16">
        <v>249.62</v>
      </c>
    </row>
    <row r="8" spans="1:10" ht="13.95" customHeight="1" x14ac:dyDescent="0.3">
      <c r="A8" s="14">
        <v>46036</v>
      </c>
      <c r="B8" s="15">
        <v>46036.648611111108</v>
      </c>
      <c r="C8" s="16">
        <v>25</v>
      </c>
      <c r="D8" s="16" t="s">
        <v>8</v>
      </c>
      <c r="E8" s="16" t="s">
        <v>5</v>
      </c>
      <c r="F8" s="16" t="s">
        <v>58</v>
      </c>
      <c r="G8" s="16" t="s">
        <v>59</v>
      </c>
      <c r="H8" s="16">
        <v>2</v>
      </c>
      <c r="I8" s="16">
        <v>220.2</v>
      </c>
      <c r="J8" s="16">
        <v>221.47</v>
      </c>
    </row>
    <row r="9" spans="1:10" ht="13.95" customHeight="1" x14ac:dyDescent="0.3">
      <c r="A9" s="14">
        <v>46036</v>
      </c>
      <c r="B9" s="15">
        <v>46036.647222222222</v>
      </c>
      <c r="C9" s="16">
        <v>25</v>
      </c>
      <c r="D9" s="16" t="s">
        <v>8</v>
      </c>
      <c r="E9" s="16" t="s">
        <v>5</v>
      </c>
      <c r="F9" s="16" t="s">
        <v>58</v>
      </c>
      <c r="G9" s="16" t="s">
        <v>59</v>
      </c>
      <c r="H9" s="16">
        <v>2</v>
      </c>
      <c r="I9" s="16">
        <v>220.2</v>
      </c>
      <c r="J9" s="16">
        <v>221.48</v>
      </c>
    </row>
    <row r="10" spans="1:10" ht="13.95" customHeight="1" x14ac:dyDescent="0.3">
      <c r="A10" s="14">
        <v>46036</v>
      </c>
      <c r="B10" s="15">
        <v>46036.645833333336</v>
      </c>
      <c r="C10" s="16">
        <v>26</v>
      </c>
      <c r="D10" s="16" t="s">
        <v>8</v>
      </c>
      <c r="E10" s="16" t="s">
        <v>5</v>
      </c>
      <c r="F10" s="16" t="s">
        <v>50</v>
      </c>
      <c r="G10" s="16" t="s">
        <v>51</v>
      </c>
      <c r="H10" s="16">
        <v>12</v>
      </c>
      <c r="I10" s="16">
        <v>166.2</v>
      </c>
      <c r="J10" s="16">
        <v>166.41</v>
      </c>
    </row>
    <row r="11" spans="1:10" ht="13.95" customHeight="1" x14ac:dyDescent="0.3">
      <c r="A11" s="14">
        <v>46036</v>
      </c>
      <c r="B11" s="15">
        <v>46036.645138888889</v>
      </c>
      <c r="C11" s="16">
        <v>27</v>
      </c>
      <c r="D11" s="16" t="s">
        <v>8</v>
      </c>
      <c r="E11" s="16" t="s">
        <v>5</v>
      </c>
      <c r="F11" s="16" t="s">
        <v>60</v>
      </c>
      <c r="G11" s="16" t="s">
        <v>61</v>
      </c>
      <c r="H11" s="16">
        <v>1</v>
      </c>
      <c r="I11" s="16">
        <v>239.4</v>
      </c>
      <c r="J11" s="16">
        <v>238.68</v>
      </c>
    </row>
    <row r="12" spans="1:10" ht="13.95" customHeight="1" x14ac:dyDescent="0.3">
      <c r="A12" s="14">
        <v>46036</v>
      </c>
      <c r="B12" s="15">
        <v>46036.637499999997</v>
      </c>
      <c r="C12" s="16">
        <v>35</v>
      </c>
      <c r="D12" s="16" t="s">
        <v>8</v>
      </c>
      <c r="E12" s="16" t="s">
        <v>5</v>
      </c>
      <c r="F12" s="16" t="s">
        <v>62</v>
      </c>
      <c r="G12" s="16" t="s">
        <v>63</v>
      </c>
      <c r="H12" s="16">
        <v>12</v>
      </c>
      <c r="I12" s="16">
        <v>282.89999999999998</v>
      </c>
      <c r="J12" s="16">
        <v>283.85000000000002</v>
      </c>
    </row>
    <row r="13" spans="1:10" ht="13.95" customHeight="1" x14ac:dyDescent="0.3">
      <c r="A13" s="14">
        <v>46036</v>
      </c>
      <c r="B13" s="15">
        <v>46036.636805555558</v>
      </c>
      <c r="C13" s="16">
        <v>10</v>
      </c>
      <c r="D13" s="16" t="s">
        <v>8</v>
      </c>
      <c r="E13" s="16" t="s">
        <v>5</v>
      </c>
      <c r="F13" s="16" t="s">
        <v>54</v>
      </c>
      <c r="G13" s="16" t="s">
        <v>55</v>
      </c>
      <c r="H13" s="16">
        <v>1</v>
      </c>
      <c r="I13" s="16">
        <v>278.10000000000002</v>
      </c>
      <c r="J13" s="16">
        <v>279.45999999999998</v>
      </c>
    </row>
    <row r="14" spans="1:10" ht="13.95" customHeight="1" x14ac:dyDescent="0.3">
      <c r="A14" s="14">
        <v>46036</v>
      </c>
      <c r="B14" s="15">
        <v>46036.635416666664</v>
      </c>
      <c r="C14" s="16">
        <v>24</v>
      </c>
      <c r="D14" s="16" t="s">
        <v>8</v>
      </c>
      <c r="E14" s="16" t="s">
        <v>5</v>
      </c>
      <c r="F14" s="16" t="s">
        <v>56</v>
      </c>
      <c r="G14" s="16" t="s">
        <v>57</v>
      </c>
      <c r="H14" s="16">
        <v>20</v>
      </c>
      <c r="I14" s="16">
        <v>249</v>
      </c>
      <c r="J14" s="16">
        <v>249.53</v>
      </c>
    </row>
    <row r="15" spans="1:10" ht="13.95" customHeight="1" x14ac:dyDescent="0.3">
      <c r="A15" s="14">
        <v>46036</v>
      </c>
      <c r="B15" s="15">
        <v>46036.633333333331</v>
      </c>
      <c r="C15" s="16">
        <v>10</v>
      </c>
      <c r="D15" s="16" t="s">
        <v>8</v>
      </c>
      <c r="E15" s="16" t="s">
        <v>5</v>
      </c>
      <c r="F15" s="16" t="s">
        <v>54</v>
      </c>
      <c r="G15" s="16" t="s">
        <v>55</v>
      </c>
      <c r="H15" s="16">
        <v>1</v>
      </c>
      <c r="I15" s="16">
        <v>278.10000000000002</v>
      </c>
      <c r="J15" s="16">
        <v>279.07</v>
      </c>
    </row>
    <row r="16" spans="1:10" ht="13.95" customHeight="1" x14ac:dyDescent="0.3">
      <c r="A16" s="14">
        <v>46036</v>
      </c>
      <c r="B16" s="15">
        <v>46036.631249999999</v>
      </c>
      <c r="C16" s="16">
        <v>33</v>
      </c>
      <c r="D16" s="16" t="s">
        <v>8</v>
      </c>
      <c r="E16" s="16" t="s">
        <v>5</v>
      </c>
      <c r="F16" s="16" t="s">
        <v>64</v>
      </c>
      <c r="G16" s="16" t="s">
        <v>65</v>
      </c>
      <c r="H16" s="16">
        <v>7</v>
      </c>
      <c r="I16" s="16">
        <v>249.9</v>
      </c>
      <c r="J16" s="16">
        <v>248.4</v>
      </c>
    </row>
    <row r="17" spans="1:10" ht="13.95" customHeight="1" x14ac:dyDescent="0.3">
      <c r="A17" s="14">
        <v>46036</v>
      </c>
      <c r="B17" s="15">
        <v>46036.628472222219</v>
      </c>
      <c r="C17" s="16">
        <v>27</v>
      </c>
      <c r="D17" s="16" t="s">
        <v>8</v>
      </c>
      <c r="E17" s="16" t="s">
        <v>5</v>
      </c>
      <c r="F17" s="16" t="s">
        <v>60</v>
      </c>
      <c r="G17" s="16" t="s">
        <v>61</v>
      </c>
      <c r="H17" s="16">
        <v>1</v>
      </c>
      <c r="I17" s="16">
        <v>239.4</v>
      </c>
      <c r="J17" s="16">
        <v>240.57</v>
      </c>
    </row>
    <row r="18" spans="1:10" ht="13.95" customHeight="1" x14ac:dyDescent="0.3">
      <c r="A18" s="14">
        <v>46036</v>
      </c>
      <c r="B18" s="15">
        <v>46036.615277777775</v>
      </c>
      <c r="C18" s="16">
        <v>26</v>
      </c>
      <c r="D18" s="16" t="s">
        <v>66</v>
      </c>
      <c r="E18" s="16" t="s">
        <v>8</v>
      </c>
      <c r="F18" s="16" t="s">
        <v>50</v>
      </c>
      <c r="G18" s="16" t="s">
        <v>51</v>
      </c>
      <c r="H18" s="16">
        <v>12</v>
      </c>
      <c r="I18" s="16">
        <v>166.2</v>
      </c>
      <c r="J18" s="16">
        <v>166.05</v>
      </c>
    </row>
    <row r="19" spans="1:10" ht="13.95" customHeight="1" x14ac:dyDescent="0.3">
      <c r="A19" s="14">
        <v>46036</v>
      </c>
      <c r="B19" s="15">
        <v>46036.609722222223</v>
      </c>
      <c r="C19" s="16">
        <v>25</v>
      </c>
      <c r="D19" s="16" t="s">
        <v>66</v>
      </c>
      <c r="E19" s="16" t="s">
        <v>8</v>
      </c>
      <c r="F19" s="16" t="s">
        <v>58</v>
      </c>
      <c r="G19" s="16" t="s">
        <v>59</v>
      </c>
      <c r="H19" s="16">
        <v>2</v>
      </c>
      <c r="I19" s="16">
        <v>220.2</v>
      </c>
      <c r="J19" s="16">
        <v>220.44</v>
      </c>
    </row>
    <row r="20" spans="1:10" ht="13.95" customHeight="1" x14ac:dyDescent="0.3">
      <c r="A20" s="14">
        <v>46036</v>
      </c>
      <c r="B20" s="15">
        <v>46036.602083333331</v>
      </c>
      <c r="C20" s="16">
        <v>28</v>
      </c>
      <c r="D20" s="16" t="s">
        <v>66</v>
      </c>
      <c r="E20" s="16" t="s">
        <v>8</v>
      </c>
      <c r="F20" s="16" t="s">
        <v>56</v>
      </c>
      <c r="G20" s="16" t="s">
        <v>57</v>
      </c>
      <c r="H20" s="16">
        <v>20</v>
      </c>
      <c r="I20" s="16">
        <v>249</v>
      </c>
      <c r="J20" s="16">
        <v>249.31</v>
      </c>
    </row>
    <row r="21" spans="1:10" ht="13.95" customHeight="1" x14ac:dyDescent="0.3">
      <c r="A21" s="14">
        <v>46036</v>
      </c>
      <c r="B21" s="15">
        <v>46036.594444444447</v>
      </c>
      <c r="C21" s="16">
        <v>38</v>
      </c>
      <c r="D21" s="16" t="s">
        <v>66</v>
      </c>
      <c r="E21" s="16" t="s">
        <v>8</v>
      </c>
      <c r="F21" s="16" t="s">
        <v>52</v>
      </c>
      <c r="G21" s="16" t="s">
        <v>53</v>
      </c>
      <c r="H21" s="16">
        <v>5</v>
      </c>
      <c r="I21" s="16">
        <v>277.8</v>
      </c>
      <c r="J21" s="16">
        <v>277</v>
      </c>
    </row>
    <row r="22" spans="1:10" ht="13.95" customHeight="1" x14ac:dyDescent="0.3">
      <c r="A22" s="14">
        <v>46036</v>
      </c>
      <c r="B22" s="15">
        <v>46036.591666666667</v>
      </c>
      <c r="C22" s="16">
        <v>27</v>
      </c>
      <c r="D22" s="16" t="s">
        <v>66</v>
      </c>
      <c r="E22" s="16" t="s">
        <v>8</v>
      </c>
      <c r="F22" s="16" t="s">
        <v>60</v>
      </c>
      <c r="G22" s="16" t="s">
        <v>61</v>
      </c>
      <c r="H22" s="16">
        <v>1</v>
      </c>
      <c r="I22" s="16">
        <v>239.4</v>
      </c>
      <c r="J22" s="16">
        <v>239.4</v>
      </c>
    </row>
    <row r="23" spans="1:10" ht="13.95" customHeight="1" x14ac:dyDescent="0.3">
      <c r="A23" s="14">
        <v>46036</v>
      </c>
      <c r="B23" s="15">
        <v>46036.588194444441</v>
      </c>
      <c r="C23" s="16">
        <v>33</v>
      </c>
      <c r="D23" s="16" t="s">
        <v>66</v>
      </c>
      <c r="E23" s="16" t="s">
        <v>8</v>
      </c>
      <c r="F23" s="16" t="s">
        <v>64</v>
      </c>
      <c r="G23" s="16" t="s">
        <v>65</v>
      </c>
      <c r="H23" s="16">
        <v>7</v>
      </c>
      <c r="I23" s="16">
        <v>249.9</v>
      </c>
      <c r="J23" s="16">
        <v>250.2</v>
      </c>
    </row>
    <row r="24" spans="1:10" ht="13.95" customHeight="1" x14ac:dyDescent="0.3">
      <c r="A24" s="14">
        <v>46036</v>
      </c>
      <c r="B24" s="15">
        <v>46036.586805555555</v>
      </c>
      <c r="C24" s="16">
        <v>25</v>
      </c>
      <c r="D24" s="16" t="s">
        <v>66</v>
      </c>
      <c r="E24" s="16" t="s">
        <v>8</v>
      </c>
      <c r="F24" s="16" t="s">
        <v>58</v>
      </c>
      <c r="G24" s="16" t="s">
        <v>59</v>
      </c>
      <c r="H24" s="16">
        <v>2</v>
      </c>
      <c r="I24" s="16">
        <v>220.2</v>
      </c>
      <c r="J24" s="16">
        <v>221.1</v>
      </c>
    </row>
    <row r="25" spans="1:10" ht="13.95" customHeight="1" x14ac:dyDescent="0.3">
      <c r="A25" s="14">
        <v>46036</v>
      </c>
      <c r="B25" s="15">
        <v>46036.586111111108</v>
      </c>
      <c r="C25" s="16">
        <v>24</v>
      </c>
      <c r="D25" s="16" t="s">
        <v>66</v>
      </c>
      <c r="E25" s="16" t="s">
        <v>8</v>
      </c>
      <c r="F25" s="16" t="s">
        <v>56</v>
      </c>
      <c r="G25" s="16" t="s">
        <v>57</v>
      </c>
      <c r="H25" s="16">
        <v>20</v>
      </c>
      <c r="I25" s="16">
        <v>249</v>
      </c>
      <c r="J25" s="16">
        <v>250.05</v>
      </c>
    </row>
    <row r="26" spans="1:10" ht="13.95" customHeight="1" x14ac:dyDescent="0.3">
      <c r="A26" s="14">
        <v>46036</v>
      </c>
      <c r="B26" s="15">
        <v>46036.586111111108</v>
      </c>
      <c r="C26" s="16">
        <v>35</v>
      </c>
      <c r="D26" s="16" t="s">
        <v>66</v>
      </c>
      <c r="E26" s="16" t="s">
        <v>8</v>
      </c>
      <c r="F26" s="16" t="s">
        <v>62</v>
      </c>
      <c r="G26" s="16" t="s">
        <v>63</v>
      </c>
      <c r="H26" s="16">
        <v>12</v>
      </c>
      <c r="I26" s="16">
        <v>282.89999999999998</v>
      </c>
      <c r="J26" s="16">
        <v>282.31</v>
      </c>
    </row>
    <row r="27" spans="1:10" ht="13.95" customHeight="1" x14ac:dyDescent="0.3">
      <c r="A27" s="14">
        <v>46036</v>
      </c>
      <c r="B27" s="15">
        <v>46036.586111111108</v>
      </c>
      <c r="C27" s="16">
        <v>35</v>
      </c>
      <c r="D27" s="16" t="s">
        <v>66</v>
      </c>
      <c r="E27" s="16" t="s">
        <v>8</v>
      </c>
      <c r="F27" s="16" t="s">
        <v>62</v>
      </c>
      <c r="G27" s="16" t="s">
        <v>63</v>
      </c>
      <c r="H27" s="16">
        <v>12</v>
      </c>
      <c r="I27" s="16">
        <v>282.89999999999998</v>
      </c>
      <c r="J27" s="16">
        <v>282.29000000000002</v>
      </c>
    </row>
    <row r="28" spans="1:10" ht="13.95" customHeight="1" x14ac:dyDescent="0.3">
      <c r="A28" s="14">
        <v>46036</v>
      </c>
      <c r="B28" s="15">
        <v>46036.578472222223</v>
      </c>
      <c r="C28" s="16">
        <v>27</v>
      </c>
      <c r="D28" s="16" t="s">
        <v>66</v>
      </c>
      <c r="E28" s="16" t="s">
        <v>8</v>
      </c>
      <c r="F28" s="16" t="s">
        <v>60</v>
      </c>
      <c r="G28" s="16" t="s">
        <v>61</v>
      </c>
      <c r="H28" s="16">
        <v>1</v>
      </c>
      <c r="I28" s="16">
        <v>239.4</v>
      </c>
      <c r="J28" s="16">
        <v>238.62</v>
      </c>
    </row>
    <row r="29" spans="1:10" ht="13.95" customHeight="1" x14ac:dyDescent="0.3">
      <c r="A29" s="14">
        <v>46036</v>
      </c>
      <c r="B29" s="15">
        <v>46036.561111111114</v>
      </c>
      <c r="C29" s="16">
        <v>38</v>
      </c>
      <c r="D29" s="16" t="s">
        <v>66</v>
      </c>
      <c r="E29" s="16" t="s">
        <v>8</v>
      </c>
      <c r="F29" s="16" t="s">
        <v>52</v>
      </c>
      <c r="G29" s="16" t="s">
        <v>53</v>
      </c>
      <c r="H29" s="16">
        <v>5</v>
      </c>
      <c r="I29" s="16">
        <v>277.8</v>
      </c>
      <c r="J29" s="16">
        <v>277.39999999999998</v>
      </c>
    </row>
    <row r="30" spans="1:10" ht="13.95" customHeight="1" x14ac:dyDescent="0.3">
      <c r="A30" s="14">
        <v>46036</v>
      </c>
      <c r="B30" s="15">
        <v>46036.560416666667</v>
      </c>
      <c r="C30" s="16">
        <v>25</v>
      </c>
      <c r="D30" s="16" t="s">
        <v>66</v>
      </c>
      <c r="E30" s="16" t="s">
        <v>8</v>
      </c>
      <c r="F30" s="16" t="s">
        <v>58</v>
      </c>
      <c r="G30" s="16" t="s">
        <v>59</v>
      </c>
      <c r="H30" s="16">
        <v>2</v>
      </c>
      <c r="I30" s="16">
        <v>220.2</v>
      </c>
      <c r="J30" s="16">
        <v>220.28</v>
      </c>
    </row>
    <row r="31" spans="1:10" ht="13.95" customHeight="1" x14ac:dyDescent="0.3">
      <c r="A31" s="14">
        <v>46036</v>
      </c>
      <c r="B31" s="15">
        <v>46036.560416666667</v>
      </c>
      <c r="C31" s="16">
        <v>26</v>
      </c>
      <c r="D31" s="16" t="s">
        <v>66</v>
      </c>
      <c r="E31" s="16" t="s">
        <v>8</v>
      </c>
      <c r="F31" s="16" t="s">
        <v>50</v>
      </c>
      <c r="G31" s="16" t="s">
        <v>51</v>
      </c>
      <c r="H31" s="16">
        <v>12</v>
      </c>
      <c r="I31" s="16">
        <v>166.2</v>
      </c>
      <c r="J31" s="16">
        <v>166.32</v>
      </c>
    </row>
    <row r="32" spans="1:10" ht="13.95" customHeight="1" x14ac:dyDescent="0.3">
      <c r="A32" s="14">
        <v>46036</v>
      </c>
      <c r="B32" s="15">
        <v>46036.548611111109</v>
      </c>
      <c r="C32" s="16">
        <v>10</v>
      </c>
      <c r="D32" s="16" t="s">
        <v>66</v>
      </c>
      <c r="E32" s="16" t="s">
        <v>8</v>
      </c>
      <c r="F32" s="16" t="s">
        <v>54</v>
      </c>
      <c r="G32" s="16" t="s">
        <v>55</v>
      </c>
      <c r="H32" s="16">
        <v>1</v>
      </c>
      <c r="I32" s="16">
        <v>278.10000000000002</v>
      </c>
      <c r="J32" s="16">
        <v>279.39999999999998</v>
      </c>
    </row>
    <row r="33" spans="1:10" ht="13.95" customHeight="1" x14ac:dyDescent="0.3">
      <c r="A33" s="14">
        <v>46036</v>
      </c>
      <c r="B33" s="15">
        <v>46036.54791666667</v>
      </c>
      <c r="C33" s="16">
        <v>24</v>
      </c>
      <c r="D33" s="16" t="s">
        <v>66</v>
      </c>
      <c r="E33" s="16" t="s">
        <v>8</v>
      </c>
      <c r="F33" s="16" t="s">
        <v>56</v>
      </c>
      <c r="G33" s="16" t="s">
        <v>57</v>
      </c>
      <c r="H33" s="16">
        <v>20</v>
      </c>
      <c r="I33" s="16">
        <v>249</v>
      </c>
      <c r="J33" s="16">
        <v>249.48</v>
      </c>
    </row>
    <row r="34" spans="1:10" ht="13.95" customHeight="1" x14ac:dyDescent="0.3">
      <c r="A34" s="14">
        <v>46036</v>
      </c>
      <c r="B34" s="15">
        <v>46036.546527777777</v>
      </c>
      <c r="C34" s="16">
        <v>35</v>
      </c>
      <c r="D34" s="16" t="s">
        <v>66</v>
      </c>
      <c r="E34" s="16" t="s">
        <v>8</v>
      </c>
      <c r="F34" s="16" t="s">
        <v>62</v>
      </c>
      <c r="G34" s="16" t="s">
        <v>63</v>
      </c>
      <c r="H34" s="16">
        <v>12</v>
      </c>
      <c r="I34" s="16">
        <v>282.89999999999998</v>
      </c>
      <c r="J34" s="16">
        <v>283.56</v>
      </c>
    </row>
    <row r="35" spans="1:10" ht="13.95" customHeight="1" x14ac:dyDescent="0.3">
      <c r="A35" s="14">
        <v>46036</v>
      </c>
      <c r="B35" s="15">
        <v>46036.546527777777</v>
      </c>
      <c r="C35" s="16">
        <v>35</v>
      </c>
      <c r="D35" s="16" t="s">
        <v>66</v>
      </c>
      <c r="E35" s="16" t="s">
        <v>8</v>
      </c>
      <c r="F35" s="16" t="s">
        <v>62</v>
      </c>
      <c r="G35" s="16" t="s">
        <v>63</v>
      </c>
      <c r="H35" s="16">
        <v>12</v>
      </c>
      <c r="I35" s="16">
        <v>282.89999999999998</v>
      </c>
      <c r="J35" s="16">
        <v>283.58</v>
      </c>
    </row>
    <row r="36" spans="1:10" ht="13.95" customHeight="1" x14ac:dyDescent="0.3">
      <c r="A36" s="14">
        <v>46036</v>
      </c>
      <c r="B36" s="15">
        <v>46036.54583333333</v>
      </c>
      <c r="C36" s="16">
        <v>38</v>
      </c>
      <c r="D36" s="16" t="s">
        <v>66</v>
      </c>
      <c r="E36" s="16" t="s">
        <v>8</v>
      </c>
      <c r="F36" s="16" t="s">
        <v>52</v>
      </c>
      <c r="G36" s="16" t="s">
        <v>53</v>
      </c>
      <c r="H36" s="16">
        <v>5</v>
      </c>
      <c r="I36" s="16">
        <v>277.8</v>
      </c>
      <c r="J36" s="16">
        <v>277.5</v>
      </c>
    </row>
    <row r="37" spans="1:10" ht="13.95" customHeight="1" x14ac:dyDescent="0.3">
      <c r="A37" s="14">
        <v>46036</v>
      </c>
      <c r="B37" s="15">
        <v>46036.544444444444</v>
      </c>
      <c r="C37" s="16">
        <v>33</v>
      </c>
      <c r="D37" s="16" t="s">
        <v>66</v>
      </c>
      <c r="E37" s="16" t="s">
        <v>8</v>
      </c>
      <c r="F37" s="16" t="s">
        <v>64</v>
      </c>
      <c r="G37" s="16" t="s">
        <v>65</v>
      </c>
      <c r="H37" s="16">
        <v>7</v>
      </c>
      <c r="I37" s="16">
        <v>249.9</v>
      </c>
      <c r="J37" s="16">
        <v>249.6</v>
      </c>
    </row>
    <row r="38" spans="1:10" ht="13.95" customHeight="1" x14ac:dyDescent="0.3">
      <c r="A38" s="14">
        <v>46036</v>
      </c>
      <c r="B38" s="15">
        <v>46036.518055555556</v>
      </c>
      <c r="C38" s="16">
        <v>9</v>
      </c>
      <c r="D38" s="16" t="s">
        <v>66</v>
      </c>
      <c r="E38" s="16" t="s">
        <v>8</v>
      </c>
      <c r="F38" s="16" t="s">
        <v>50</v>
      </c>
      <c r="G38" s="16" t="s">
        <v>51</v>
      </c>
      <c r="H38" s="16">
        <v>12</v>
      </c>
      <c r="I38" s="16">
        <v>166.2</v>
      </c>
      <c r="J38" s="16">
        <v>166.21</v>
      </c>
    </row>
    <row r="39" spans="1:10" ht="13.95" customHeight="1" x14ac:dyDescent="0.3">
      <c r="A39" s="14">
        <v>46036</v>
      </c>
      <c r="B39" s="15">
        <v>46036.515972222223</v>
      </c>
      <c r="C39" s="16">
        <v>26</v>
      </c>
      <c r="D39" s="16" t="s">
        <v>66</v>
      </c>
      <c r="E39" s="16" t="s">
        <v>8</v>
      </c>
      <c r="F39" s="16" t="s">
        <v>50</v>
      </c>
      <c r="G39" s="16" t="s">
        <v>51</v>
      </c>
      <c r="H39" s="16">
        <v>12</v>
      </c>
      <c r="I39" s="16">
        <v>166.2</v>
      </c>
      <c r="J39" s="16">
        <v>166.59</v>
      </c>
    </row>
    <row r="40" spans="1:10" ht="13.95" customHeight="1" x14ac:dyDescent="0.3">
      <c r="A40" s="14">
        <v>46036</v>
      </c>
      <c r="B40" s="15">
        <v>46036.512499999997</v>
      </c>
      <c r="C40" s="16">
        <v>24</v>
      </c>
      <c r="D40" s="16" t="s">
        <v>66</v>
      </c>
      <c r="E40" s="16" t="s">
        <v>8</v>
      </c>
      <c r="F40" s="16" t="s">
        <v>56</v>
      </c>
      <c r="G40" s="16" t="s">
        <v>57</v>
      </c>
      <c r="H40" s="16">
        <v>20</v>
      </c>
      <c r="I40" s="16">
        <v>249</v>
      </c>
      <c r="J40" s="16">
        <v>249.29</v>
      </c>
    </row>
    <row r="41" spans="1:10" ht="13.95" customHeight="1" x14ac:dyDescent="0.3">
      <c r="A41" s="14">
        <v>46036</v>
      </c>
      <c r="B41" s="15">
        <v>46036.509027777778</v>
      </c>
      <c r="C41" s="16">
        <v>27</v>
      </c>
      <c r="D41" s="16" t="s">
        <v>66</v>
      </c>
      <c r="E41" s="16" t="s">
        <v>8</v>
      </c>
      <c r="F41" s="16" t="s">
        <v>60</v>
      </c>
      <c r="G41" s="16" t="s">
        <v>61</v>
      </c>
      <c r="H41" s="16">
        <v>1</v>
      </c>
      <c r="I41" s="16">
        <v>239.4</v>
      </c>
      <c r="J41" s="16">
        <v>239.48</v>
      </c>
    </row>
    <row r="42" spans="1:10" ht="13.95" customHeight="1" x14ac:dyDescent="0.3">
      <c r="A42" s="14">
        <v>46036</v>
      </c>
      <c r="B42" s="15">
        <v>46036.509027777778</v>
      </c>
      <c r="C42" s="16">
        <v>27</v>
      </c>
      <c r="D42" s="16" t="s">
        <v>66</v>
      </c>
      <c r="E42" s="16" t="s">
        <v>8</v>
      </c>
      <c r="F42" s="16" t="s">
        <v>60</v>
      </c>
      <c r="G42" s="16" t="s">
        <v>61</v>
      </c>
      <c r="H42" s="16">
        <v>1</v>
      </c>
      <c r="I42" s="16">
        <v>239.4</v>
      </c>
      <c r="J42" s="16">
        <v>239.48</v>
      </c>
    </row>
    <row r="43" spans="1:10" ht="13.95" customHeight="1" x14ac:dyDescent="0.3">
      <c r="A43" s="14">
        <v>46036</v>
      </c>
      <c r="B43" s="15">
        <v>46036.507638888892</v>
      </c>
      <c r="C43" s="16">
        <v>10</v>
      </c>
      <c r="D43" s="16" t="s">
        <v>66</v>
      </c>
      <c r="E43" s="16" t="s">
        <v>8</v>
      </c>
      <c r="F43" s="16" t="s">
        <v>54</v>
      </c>
      <c r="G43" s="16" t="s">
        <v>55</v>
      </c>
      <c r="H43" s="16">
        <v>1</v>
      </c>
      <c r="I43" s="16">
        <v>278.10000000000002</v>
      </c>
      <c r="J43" s="16">
        <v>279.64</v>
      </c>
    </row>
    <row r="44" spans="1:10" ht="13.95" customHeight="1" x14ac:dyDescent="0.3">
      <c r="A44" s="14">
        <v>46036</v>
      </c>
      <c r="B44" s="15">
        <v>46036.507638888892</v>
      </c>
      <c r="C44" s="16">
        <v>33</v>
      </c>
      <c r="D44" s="16" t="s">
        <v>66</v>
      </c>
      <c r="E44" s="16" t="s">
        <v>8</v>
      </c>
      <c r="F44" s="16" t="s">
        <v>64</v>
      </c>
      <c r="G44" s="16" t="s">
        <v>65</v>
      </c>
      <c r="H44" s="16">
        <v>7</v>
      </c>
      <c r="I44" s="16">
        <v>249.9</v>
      </c>
      <c r="J44" s="16">
        <v>249.7</v>
      </c>
    </row>
    <row r="45" spans="1:10" ht="13.95" customHeight="1" x14ac:dyDescent="0.3">
      <c r="A45" s="14">
        <v>46036</v>
      </c>
      <c r="B45" s="15">
        <v>46036.506944444445</v>
      </c>
      <c r="C45" s="16">
        <v>10</v>
      </c>
      <c r="D45" s="16" t="s">
        <v>66</v>
      </c>
      <c r="E45" s="16" t="s">
        <v>8</v>
      </c>
      <c r="F45" s="16" t="s">
        <v>54</v>
      </c>
      <c r="G45" s="16" t="s">
        <v>55</v>
      </c>
      <c r="H45" s="16">
        <v>1</v>
      </c>
      <c r="I45" s="16">
        <v>278.10000000000002</v>
      </c>
      <c r="J45" s="16">
        <v>279.66000000000003</v>
      </c>
    </row>
    <row r="46" spans="1:10" ht="13.95" customHeight="1" x14ac:dyDescent="0.3">
      <c r="A46" s="14">
        <v>46036</v>
      </c>
      <c r="B46" s="15">
        <v>46036.506249999999</v>
      </c>
      <c r="C46" s="16">
        <v>25</v>
      </c>
      <c r="D46" s="16" t="s">
        <v>66</v>
      </c>
      <c r="E46" s="16" t="s">
        <v>8</v>
      </c>
      <c r="F46" s="16" t="s">
        <v>58</v>
      </c>
      <c r="G46" s="16" t="s">
        <v>59</v>
      </c>
      <c r="H46" s="16">
        <v>2</v>
      </c>
      <c r="I46" s="16">
        <v>220.2</v>
      </c>
      <c r="J46" s="16">
        <v>220.35</v>
      </c>
    </row>
    <row r="47" spans="1:10" ht="13.95" customHeight="1" x14ac:dyDescent="0.3">
      <c r="A47" s="14">
        <v>46036</v>
      </c>
      <c r="B47" s="15">
        <v>46036.500694444447</v>
      </c>
      <c r="C47" s="16">
        <v>38</v>
      </c>
      <c r="D47" s="16" t="s">
        <v>66</v>
      </c>
      <c r="E47" s="16" t="s">
        <v>8</v>
      </c>
      <c r="F47" s="16" t="s">
        <v>52</v>
      </c>
      <c r="G47" s="16" t="s">
        <v>53</v>
      </c>
      <c r="H47" s="16">
        <v>5</v>
      </c>
      <c r="I47" s="16">
        <v>277.8</v>
      </c>
      <c r="J47" s="16">
        <v>277.3</v>
      </c>
    </row>
    <row r="48" spans="1:10" ht="13.95" customHeight="1" x14ac:dyDescent="0.3">
      <c r="A48" s="14">
        <v>46036</v>
      </c>
      <c r="B48" s="15">
        <v>46036.470833333333</v>
      </c>
      <c r="C48" s="16">
        <v>24</v>
      </c>
      <c r="D48" s="16" t="s">
        <v>66</v>
      </c>
      <c r="E48" s="16" t="s">
        <v>8</v>
      </c>
      <c r="F48" s="16" t="s">
        <v>56</v>
      </c>
      <c r="G48" s="16" t="s">
        <v>57</v>
      </c>
      <c r="H48" s="16">
        <v>20</v>
      </c>
      <c r="I48" s="16">
        <v>249</v>
      </c>
      <c r="J48" s="16">
        <v>249.4</v>
      </c>
    </row>
    <row r="49" spans="1:10" ht="13.95" customHeight="1" x14ac:dyDescent="0.3">
      <c r="A49" s="14">
        <v>46036</v>
      </c>
      <c r="B49" s="15">
        <v>46036.468055555553</v>
      </c>
      <c r="C49" s="16">
        <v>38</v>
      </c>
      <c r="D49" s="16" t="s">
        <v>66</v>
      </c>
      <c r="E49" s="16" t="s">
        <v>8</v>
      </c>
      <c r="F49" s="16" t="s">
        <v>52</v>
      </c>
      <c r="G49" s="16" t="s">
        <v>53</v>
      </c>
      <c r="H49" s="16">
        <v>5</v>
      </c>
      <c r="I49" s="16">
        <v>277.8</v>
      </c>
      <c r="J49" s="16">
        <v>277.60000000000002</v>
      </c>
    </row>
    <row r="50" spans="1:10" ht="13.95" customHeight="1" x14ac:dyDescent="0.3">
      <c r="A50" s="14">
        <v>46036</v>
      </c>
      <c r="B50" s="15">
        <v>46036.468055555553</v>
      </c>
      <c r="C50" s="16">
        <v>26</v>
      </c>
      <c r="D50" s="16" t="s">
        <v>66</v>
      </c>
      <c r="E50" s="16" t="s">
        <v>8</v>
      </c>
      <c r="F50" s="16" t="s">
        <v>50</v>
      </c>
      <c r="G50" s="16" t="s">
        <v>51</v>
      </c>
      <c r="H50" s="16">
        <v>12</v>
      </c>
      <c r="I50" s="16">
        <v>166.2</v>
      </c>
      <c r="J50" s="16">
        <v>166.97</v>
      </c>
    </row>
    <row r="51" spans="1:10" ht="13.95" customHeight="1" x14ac:dyDescent="0.3">
      <c r="A51" s="14">
        <v>46036</v>
      </c>
      <c r="B51" s="15">
        <v>46036.461805555555</v>
      </c>
      <c r="C51" s="16">
        <v>27</v>
      </c>
      <c r="D51" s="16" t="s">
        <v>66</v>
      </c>
      <c r="E51" s="16" t="s">
        <v>8</v>
      </c>
      <c r="F51" s="16" t="s">
        <v>60</v>
      </c>
      <c r="G51" s="16" t="s">
        <v>61</v>
      </c>
      <c r="H51" s="16">
        <v>1</v>
      </c>
      <c r="I51" s="16">
        <v>239.4</v>
      </c>
      <c r="J51" s="16">
        <v>239.2</v>
      </c>
    </row>
    <row r="52" spans="1:10" ht="13.95" customHeight="1" x14ac:dyDescent="0.3">
      <c r="A52" s="14">
        <v>46036</v>
      </c>
      <c r="B52" s="15">
        <v>46036.461805555555</v>
      </c>
      <c r="C52" s="16">
        <v>25</v>
      </c>
      <c r="D52" s="16" t="s">
        <v>66</v>
      </c>
      <c r="E52" s="16" t="s">
        <v>8</v>
      </c>
      <c r="F52" s="16" t="s">
        <v>58</v>
      </c>
      <c r="G52" s="16" t="s">
        <v>59</v>
      </c>
      <c r="H52" s="16">
        <v>2</v>
      </c>
      <c r="I52" s="16">
        <v>220.2</v>
      </c>
      <c r="J52" s="16">
        <v>219.95</v>
      </c>
    </row>
    <row r="53" spans="1:10" ht="13.95" customHeight="1" x14ac:dyDescent="0.3">
      <c r="A53" s="14">
        <v>46036</v>
      </c>
      <c r="B53" s="15">
        <v>46036.460416666669</v>
      </c>
      <c r="C53" s="16">
        <v>33</v>
      </c>
      <c r="D53" s="16" t="s">
        <v>66</v>
      </c>
      <c r="E53" s="16" t="s">
        <v>8</v>
      </c>
      <c r="F53" s="16" t="s">
        <v>64</v>
      </c>
      <c r="G53" s="16" t="s">
        <v>65</v>
      </c>
      <c r="H53" s="16">
        <v>6</v>
      </c>
      <c r="I53" s="16">
        <v>249.9</v>
      </c>
      <c r="J53" s="16">
        <v>249.3</v>
      </c>
    </row>
    <row r="54" spans="1:10" ht="13.95" customHeight="1" x14ac:dyDescent="0.3">
      <c r="A54" s="14">
        <v>46036</v>
      </c>
      <c r="B54" s="15">
        <v>46036.431944444441</v>
      </c>
      <c r="C54" s="16">
        <v>33</v>
      </c>
      <c r="D54" s="16" t="s">
        <v>66</v>
      </c>
      <c r="E54" s="16" t="s">
        <v>8</v>
      </c>
      <c r="F54" s="16" t="s">
        <v>64</v>
      </c>
      <c r="G54" s="16" t="s">
        <v>65</v>
      </c>
      <c r="H54" s="16">
        <v>6</v>
      </c>
      <c r="I54" s="16">
        <v>249.9</v>
      </c>
      <c r="J54" s="16">
        <v>249.7</v>
      </c>
    </row>
    <row r="55" spans="1:10" ht="13.95" customHeight="1" x14ac:dyDescent="0.3">
      <c r="A55" s="14">
        <v>46036</v>
      </c>
      <c r="B55" s="15">
        <v>46036.430555555555</v>
      </c>
      <c r="C55" s="16">
        <v>25</v>
      </c>
      <c r="D55" s="16" t="s">
        <v>66</v>
      </c>
      <c r="E55" s="16" t="s">
        <v>8</v>
      </c>
      <c r="F55" s="16" t="s">
        <v>58</v>
      </c>
      <c r="G55" s="16" t="s">
        <v>59</v>
      </c>
      <c r="H55" s="16">
        <v>2</v>
      </c>
      <c r="I55" s="16">
        <v>220.2</v>
      </c>
      <c r="J55" s="16">
        <v>219.93</v>
      </c>
    </row>
    <row r="56" spans="1:10" ht="13.95" customHeight="1" x14ac:dyDescent="0.3">
      <c r="A56" s="14">
        <v>46036</v>
      </c>
      <c r="B56" s="15">
        <v>46036.426388888889</v>
      </c>
      <c r="C56" s="16">
        <v>33</v>
      </c>
      <c r="D56" s="16" t="s">
        <v>66</v>
      </c>
      <c r="E56" s="16" t="s">
        <v>8</v>
      </c>
      <c r="F56" s="16" t="s">
        <v>64</v>
      </c>
      <c r="G56" s="16" t="s">
        <v>65</v>
      </c>
      <c r="H56" s="16">
        <v>6</v>
      </c>
      <c r="I56" s="16">
        <v>249.9</v>
      </c>
      <c r="J56" s="16">
        <v>246.3</v>
      </c>
    </row>
    <row r="57" spans="1:10" ht="13.95" customHeight="1" x14ac:dyDescent="0.3">
      <c r="A57" s="14">
        <v>46036</v>
      </c>
      <c r="B57" s="15">
        <v>46036.426388888889</v>
      </c>
      <c r="C57" s="16">
        <v>33</v>
      </c>
      <c r="D57" s="16" t="s">
        <v>66</v>
      </c>
      <c r="E57" s="16" t="s">
        <v>8</v>
      </c>
      <c r="F57" s="16" t="s">
        <v>64</v>
      </c>
      <c r="G57" s="16" t="s">
        <v>65</v>
      </c>
      <c r="H57" s="16">
        <v>6</v>
      </c>
      <c r="I57" s="16">
        <v>249.9</v>
      </c>
      <c r="J57" s="16">
        <v>246.4</v>
      </c>
    </row>
    <row r="58" spans="1:10" ht="13.95" customHeight="1" x14ac:dyDescent="0.3">
      <c r="A58" s="14">
        <v>46036</v>
      </c>
      <c r="B58" s="15">
        <v>46036.426388888889</v>
      </c>
      <c r="C58" s="16">
        <v>27</v>
      </c>
      <c r="D58" s="16" t="s">
        <v>66</v>
      </c>
      <c r="E58" s="16" t="s">
        <v>8</v>
      </c>
      <c r="F58" s="16" t="s">
        <v>60</v>
      </c>
      <c r="G58" s="16" t="s">
        <v>61</v>
      </c>
      <c r="H58" s="16">
        <v>1</v>
      </c>
      <c r="I58" s="16">
        <v>239.4</v>
      </c>
      <c r="J58" s="16">
        <v>239.32</v>
      </c>
    </row>
    <row r="59" spans="1:10" ht="13.95" customHeight="1" x14ac:dyDescent="0.3">
      <c r="A59" s="14">
        <v>46036</v>
      </c>
      <c r="B59" s="15">
        <v>46036.426388888889</v>
      </c>
      <c r="C59" s="16">
        <v>24</v>
      </c>
      <c r="D59" s="16" t="s">
        <v>66</v>
      </c>
      <c r="E59" s="16" t="s">
        <v>8</v>
      </c>
      <c r="F59" s="16" t="s">
        <v>56</v>
      </c>
      <c r="G59" s="16" t="s">
        <v>57</v>
      </c>
      <c r="H59" s="16">
        <v>20</v>
      </c>
      <c r="I59" s="16">
        <v>249</v>
      </c>
      <c r="J59" s="16">
        <v>249.68</v>
      </c>
    </row>
    <row r="60" spans="1:10" ht="13.95" customHeight="1" x14ac:dyDescent="0.3">
      <c r="A60" s="14">
        <v>46036</v>
      </c>
      <c r="B60" s="15">
        <v>46036.424305555556</v>
      </c>
      <c r="C60" s="16">
        <v>26</v>
      </c>
      <c r="D60" s="16" t="s">
        <v>66</v>
      </c>
      <c r="E60" s="16" t="s">
        <v>8</v>
      </c>
      <c r="F60" s="16" t="s">
        <v>50</v>
      </c>
      <c r="G60" s="16" t="s">
        <v>51</v>
      </c>
      <c r="H60" s="16">
        <v>12</v>
      </c>
      <c r="I60" s="16">
        <v>166.2</v>
      </c>
      <c r="J60" s="16">
        <v>166.65</v>
      </c>
    </row>
    <row r="61" spans="1:10" ht="13.95" customHeight="1" x14ac:dyDescent="0.3">
      <c r="A61" s="14">
        <v>46036</v>
      </c>
      <c r="B61" s="15">
        <v>46036.42291666667</v>
      </c>
      <c r="C61" s="16">
        <v>10</v>
      </c>
      <c r="D61" s="16" t="s">
        <v>66</v>
      </c>
      <c r="E61" s="16" t="s">
        <v>8</v>
      </c>
      <c r="F61" s="16" t="s">
        <v>67</v>
      </c>
      <c r="G61" s="16" t="s">
        <v>68</v>
      </c>
      <c r="H61" s="16">
        <v>10</v>
      </c>
      <c r="I61" s="16">
        <v>282.60000000000002</v>
      </c>
      <c r="J61" s="16">
        <v>282</v>
      </c>
    </row>
    <row r="62" spans="1:10" ht="13.95" customHeight="1" x14ac:dyDescent="0.3">
      <c r="A62" s="14">
        <v>46036</v>
      </c>
      <c r="B62" s="15">
        <v>46036.42291666667</v>
      </c>
      <c r="C62" s="16">
        <v>38</v>
      </c>
      <c r="D62" s="16" t="s">
        <v>66</v>
      </c>
      <c r="E62" s="16" t="s">
        <v>8</v>
      </c>
      <c r="F62" s="16" t="s">
        <v>52</v>
      </c>
      <c r="G62" s="16" t="s">
        <v>53</v>
      </c>
      <c r="H62" s="16">
        <v>5</v>
      </c>
      <c r="I62" s="16">
        <v>277.8</v>
      </c>
      <c r="J62" s="16">
        <v>278</v>
      </c>
    </row>
    <row r="63" spans="1:10" ht="13.95" customHeight="1" x14ac:dyDescent="0.3">
      <c r="A63" s="14">
        <v>46036</v>
      </c>
      <c r="B63" s="15">
        <v>46036.413888888892</v>
      </c>
      <c r="C63" s="16">
        <v>26</v>
      </c>
      <c r="D63" s="16" t="s">
        <v>66</v>
      </c>
      <c r="E63" s="16" t="s">
        <v>8</v>
      </c>
      <c r="F63" s="16" t="s">
        <v>50</v>
      </c>
      <c r="G63" s="16" t="s">
        <v>51</v>
      </c>
      <c r="H63" s="16">
        <v>12</v>
      </c>
      <c r="I63" s="16">
        <v>166.2</v>
      </c>
      <c r="J63" s="16">
        <v>166.73</v>
      </c>
    </row>
    <row r="64" spans="1:10" ht="13.95" customHeight="1" x14ac:dyDescent="0.3">
      <c r="A64" s="14">
        <v>46036</v>
      </c>
      <c r="B64" s="15">
        <v>46036.40902777778</v>
      </c>
      <c r="C64" s="16">
        <v>9</v>
      </c>
      <c r="D64" s="16" t="s">
        <v>66</v>
      </c>
      <c r="E64" s="16" t="s">
        <v>8</v>
      </c>
      <c r="F64" s="16" t="s">
        <v>50</v>
      </c>
      <c r="G64" s="16" t="s">
        <v>51</v>
      </c>
      <c r="H64" s="16">
        <v>12</v>
      </c>
      <c r="I64" s="16">
        <v>166.2</v>
      </c>
      <c r="J64" s="16">
        <v>166.06</v>
      </c>
    </row>
    <row r="65" spans="1:10" ht="13.95" customHeight="1" x14ac:dyDescent="0.3">
      <c r="A65" s="14">
        <v>46036</v>
      </c>
      <c r="B65" s="15">
        <v>46036.402083333334</v>
      </c>
      <c r="C65" s="16">
        <v>33</v>
      </c>
      <c r="D65" s="16" t="s">
        <v>66</v>
      </c>
      <c r="E65" s="16" t="s">
        <v>8</v>
      </c>
      <c r="F65" s="16" t="s">
        <v>64</v>
      </c>
      <c r="G65" s="16" t="s">
        <v>65</v>
      </c>
      <c r="H65" s="16">
        <v>6</v>
      </c>
      <c r="I65" s="16">
        <v>249.9</v>
      </c>
      <c r="J65" s="16">
        <v>249.3</v>
      </c>
    </row>
    <row r="66" spans="1:10" ht="13.95" customHeight="1" x14ac:dyDescent="0.3">
      <c r="A66" s="14">
        <v>46036</v>
      </c>
      <c r="B66" s="15">
        <v>46036.396527777775</v>
      </c>
      <c r="C66" s="16">
        <v>27</v>
      </c>
      <c r="D66" s="16" t="s">
        <v>66</v>
      </c>
      <c r="E66" s="16" t="s">
        <v>8</v>
      </c>
      <c r="F66" s="16" t="s">
        <v>60</v>
      </c>
      <c r="G66" s="16" t="s">
        <v>61</v>
      </c>
      <c r="H66" s="16">
        <v>1</v>
      </c>
      <c r="I66" s="16">
        <v>239.4</v>
      </c>
      <c r="J66" s="16">
        <v>239.66</v>
      </c>
    </row>
    <row r="67" spans="1:10" ht="13.95" customHeight="1" x14ac:dyDescent="0.3">
      <c r="A67" s="14">
        <v>46036</v>
      </c>
      <c r="B67" s="15">
        <v>46036.39166666667</v>
      </c>
      <c r="C67" s="16">
        <v>25</v>
      </c>
      <c r="D67" s="16" t="s">
        <v>66</v>
      </c>
      <c r="E67" s="16" t="s">
        <v>8</v>
      </c>
      <c r="F67" s="16" t="s">
        <v>58</v>
      </c>
      <c r="G67" s="16" t="s">
        <v>59</v>
      </c>
      <c r="H67" s="16">
        <v>2</v>
      </c>
      <c r="I67" s="16">
        <v>220.2</v>
      </c>
      <c r="J67" s="16">
        <v>220.29</v>
      </c>
    </row>
    <row r="68" spans="1:10" ht="13.95" customHeight="1" x14ac:dyDescent="0.3">
      <c r="A68" s="14">
        <v>46036</v>
      </c>
      <c r="B68" s="15">
        <v>46036.39166666667</v>
      </c>
      <c r="C68" s="16">
        <v>20</v>
      </c>
      <c r="D68" s="16" t="s">
        <v>66</v>
      </c>
      <c r="E68" s="16" t="s">
        <v>8</v>
      </c>
      <c r="F68" s="16" t="s">
        <v>69</v>
      </c>
      <c r="G68" s="16" t="s">
        <v>51</v>
      </c>
      <c r="H68" s="16">
        <v>12</v>
      </c>
      <c r="I68" s="16">
        <v>173.4</v>
      </c>
      <c r="J68" s="16">
        <v>173.3</v>
      </c>
    </row>
    <row r="69" spans="1:10" ht="13.95" customHeight="1" x14ac:dyDescent="0.3">
      <c r="A69" s="14">
        <v>46036</v>
      </c>
      <c r="B69" s="15">
        <v>46036.387499999997</v>
      </c>
      <c r="C69" s="16">
        <v>25</v>
      </c>
      <c r="D69" s="16" t="s">
        <v>66</v>
      </c>
      <c r="E69" s="16" t="s">
        <v>8</v>
      </c>
      <c r="F69" s="16" t="s">
        <v>58</v>
      </c>
      <c r="G69" s="16" t="s">
        <v>59</v>
      </c>
      <c r="H69" s="16">
        <v>2</v>
      </c>
      <c r="I69" s="16">
        <v>220.2</v>
      </c>
      <c r="J69" s="16">
        <v>220.67</v>
      </c>
    </row>
    <row r="70" spans="1:10" ht="13.95" customHeight="1" x14ac:dyDescent="0.3">
      <c r="A70" s="14">
        <v>46036</v>
      </c>
      <c r="B70" s="15">
        <v>46036.387499999997</v>
      </c>
      <c r="C70" s="16">
        <v>26</v>
      </c>
      <c r="D70" s="16" t="s">
        <v>66</v>
      </c>
      <c r="E70" s="16" t="s">
        <v>8</v>
      </c>
      <c r="F70" s="16" t="s">
        <v>50</v>
      </c>
      <c r="G70" s="16" t="s">
        <v>51</v>
      </c>
      <c r="H70" s="16">
        <v>12</v>
      </c>
      <c r="I70" s="16">
        <v>166.2</v>
      </c>
      <c r="J70" s="16">
        <v>167.02</v>
      </c>
    </row>
    <row r="71" spans="1:10" ht="13.95" customHeight="1" x14ac:dyDescent="0.3">
      <c r="A71" s="14">
        <v>46036</v>
      </c>
      <c r="B71" s="15">
        <v>46036.381944444445</v>
      </c>
      <c r="C71" s="16">
        <v>24</v>
      </c>
      <c r="D71" s="16" t="s">
        <v>66</v>
      </c>
      <c r="E71" s="16" t="s">
        <v>8</v>
      </c>
      <c r="F71" s="16" t="s">
        <v>56</v>
      </c>
      <c r="G71" s="16" t="s">
        <v>57</v>
      </c>
      <c r="H71" s="16">
        <v>20</v>
      </c>
      <c r="I71" s="16">
        <v>249</v>
      </c>
      <c r="J71" s="16">
        <v>249.53</v>
      </c>
    </row>
    <row r="72" spans="1:10" ht="13.95" customHeight="1" x14ac:dyDescent="0.3">
      <c r="A72" s="14">
        <v>46036</v>
      </c>
      <c r="B72" s="15">
        <v>46036.379861111112</v>
      </c>
      <c r="C72" s="16">
        <v>33</v>
      </c>
      <c r="D72" s="16" t="s">
        <v>66</v>
      </c>
      <c r="E72" s="16" t="s">
        <v>8</v>
      </c>
      <c r="F72" s="16" t="s">
        <v>64</v>
      </c>
      <c r="G72" s="16" t="s">
        <v>65</v>
      </c>
      <c r="H72" s="16">
        <v>6</v>
      </c>
      <c r="I72" s="16">
        <v>249.9</v>
      </c>
      <c r="J72" s="16">
        <v>249.6</v>
      </c>
    </row>
    <row r="73" spans="1:10" ht="13.95" customHeight="1" x14ac:dyDescent="0.3">
      <c r="A73" s="14">
        <v>46036</v>
      </c>
      <c r="B73" s="15">
        <v>46036.379861111112</v>
      </c>
      <c r="C73" s="16">
        <v>38</v>
      </c>
      <c r="D73" s="16" t="s">
        <v>66</v>
      </c>
      <c r="E73" s="16" t="s">
        <v>8</v>
      </c>
      <c r="F73" s="16" t="s">
        <v>52</v>
      </c>
      <c r="G73" s="16" t="s">
        <v>53</v>
      </c>
      <c r="H73" s="16">
        <v>5</v>
      </c>
      <c r="I73" s="16">
        <v>277.8</v>
      </c>
      <c r="J73" s="16">
        <v>278.3</v>
      </c>
    </row>
    <row r="74" spans="1:10" ht="13.95" customHeight="1" x14ac:dyDescent="0.3">
      <c r="A74" s="14">
        <v>46036</v>
      </c>
      <c r="B74" s="15">
        <v>46036.378472222219</v>
      </c>
      <c r="C74" s="16">
        <v>33</v>
      </c>
      <c r="D74" s="16" t="s">
        <v>66</v>
      </c>
      <c r="E74" s="16" t="s">
        <v>8</v>
      </c>
      <c r="F74" s="16" t="s">
        <v>64</v>
      </c>
      <c r="G74" s="16" t="s">
        <v>65</v>
      </c>
      <c r="H74" s="16">
        <v>6</v>
      </c>
      <c r="I74" s="16">
        <v>249.9</v>
      </c>
      <c r="J74" s="16">
        <v>249.5</v>
      </c>
    </row>
    <row r="75" spans="1:10" ht="13.95" customHeight="1" x14ac:dyDescent="0.3">
      <c r="A75" s="14">
        <v>46036</v>
      </c>
      <c r="B75" s="15">
        <v>46036.377083333333</v>
      </c>
      <c r="C75" s="16">
        <v>10</v>
      </c>
      <c r="D75" s="16" t="s">
        <v>66</v>
      </c>
      <c r="E75" s="16" t="s">
        <v>8</v>
      </c>
      <c r="F75" s="16" t="s">
        <v>67</v>
      </c>
      <c r="G75" s="16" t="s">
        <v>68</v>
      </c>
      <c r="H75" s="16">
        <v>10</v>
      </c>
      <c r="I75" s="16">
        <v>282.60000000000002</v>
      </c>
      <c r="J75" s="16">
        <v>282.17</v>
      </c>
    </row>
    <row r="76" spans="1:10" ht="13.95" customHeight="1" x14ac:dyDescent="0.3">
      <c r="A76" s="14">
        <v>46036</v>
      </c>
      <c r="B76" s="15">
        <v>46036.377083333333</v>
      </c>
      <c r="C76" s="16">
        <v>26</v>
      </c>
      <c r="D76" s="16" t="s">
        <v>66</v>
      </c>
      <c r="E76" s="16" t="s">
        <v>8</v>
      </c>
      <c r="F76" s="16" t="s">
        <v>50</v>
      </c>
      <c r="G76" s="16" t="s">
        <v>51</v>
      </c>
      <c r="H76" s="16">
        <v>12</v>
      </c>
      <c r="I76" s="16">
        <v>166.2</v>
      </c>
      <c r="J76" s="16">
        <v>166.51</v>
      </c>
    </row>
    <row r="77" spans="1:10" ht="13.95" customHeight="1" x14ac:dyDescent="0.3">
      <c r="A77" s="14">
        <v>46036</v>
      </c>
      <c r="B77" s="15">
        <v>46036.363888888889</v>
      </c>
      <c r="C77" s="16">
        <v>9</v>
      </c>
      <c r="D77" s="16" t="s">
        <v>66</v>
      </c>
      <c r="E77" s="16" t="s">
        <v>8</v>
      </c>
      <c r="F77" s="16" t="s">
        <v>50</v>
      </c>
      <c r="G77" s="16" t="s">
        <v>51</v>
      </c>
      <c r="H77" s="16">
        <v>12</v>
      </c>
      <c r="I77" s="16">
        <v>166.2</v>
      </c>
      <c r="J77" s="16">
        <v>166.39</v>
      </c>
    </row>
    <row r="78" spans="1:10" ht="13.95" customHeight="1" x14ac:dyDescent="0.3">
      <c r="A78" s="14">
        <v>46036</v>
      </c>
      <c r="B78" s="15">
        <v>46036.355555555558</v>
      </c>
      <c r="C78" s="16">
        <v>20</v>
      </c>
      <c r="D78" s="16" t="s">
        <v>66</v>
      </c>
      <c r="E78" s="16" t="s">
        <v>8</v>
      </c>
      <c r="F78" s="16" t="s">
        <v>69</v>
      </c>
      <c r="G78" s="16" t="s">
        <v>51</v>
      </c>
      <c r="H78" s="16">
        <v>12</v>
      </c>
      <c r="I78" s="16">
        <v>173.4</v>
      </c>
      <c r="J78" s="16">
        <v>173.5</v>
      </c>
    </row>
    <row r="79" spans="1:10" ht="13.95" customHeight="1" x14ac:dyDescent="0.3">
      <c r="A79" s="14">
        <v>46036</v>
      </c>
      <c r="B79" s="15">
        <v>46036.355555555558</v>
      </c>
      <c r="C79" s="16">
        <v>25</v>
      </c>
      <c r="D79" s="16" t="s">
        <v>66</v>
      </c>
      <c r="E79" s="16" t="s">
        <v>8</v>
      </c>
      <c r="F79" s="16" t="s">
        <v>58</v>
      </c>
      <c r="G79" s="16" t="s">
        <v>59</v>
      </c>
      <c r="H79" s="16">
        <v>2</v>
      </c>
      <c r="I79" s="16">
        <v>220.2</v>
      </c>
      <c r="J79" s="16">
        <v>219.8</v>
      </c>
    </row>
    <row r="80" spans="1:10" ht="13.95" customHeight="1" x14ac:dyDescent="0.3">
      <c r="A80" s="14">
        <v>46036</v>
      </c>
      <c r="B80" s="15">
        <v>46036.35</v>
      </c>
      <c r="C80" s="16">
        <v>9</v>
      </c>
      <c r="D80" s="16" t="s">
        <v>66</v>
      </c>
      <c r="E80" s="16" t="s">
        <v>8</v>
      </c>
      <c r="F80" s="16" t="s">
        <v>50</v>
      </c>
      <c r="G80" s="16" t="s">
        <v>51</v>
      </c>
      <c r="H80" s="16">
        <v>12</v>
      </c>
      <c r="I80" s="16">
        <v>166.2</v>
      </c>
      <c r="J80" s="16">
        <v>165.55</v>
      </c>
    </row>
    <row r="81" spans="1:10" ht="13.95" customHeight="1" x14ac:dyDescent="0.3">
      <c r="A81" s="14">
        <v>46036</v>
      </c>
      <c r="B81" s="15">
        <v>46036.34652777778</v>
      </c>
      <c r="C81" s="16">
        <v>24</v>
      </c>
      <c r="D81" s="16" t="s">
        <v>66</v>
      </c>
      <c r="E81" s="16" t="s">
        <v>8</v>
      </c>
      <c r="F81" s="16" t="s">
        <v>56</v>
      </c>
      <c r="G81" s="16" t="s">
        <v>57</v>
      </c>
      <c r="H81" s="16">
        <v>20</v>
      </c>
      <c r="I81" s="16">
        <v>249</v>
      </c>
      <c r="J81" s="16">
        <v>248.94</v>
      </c>
    </row>
    <row r="82" spans="1:10" ht="13.95" customHeight="1" x14ac:dyDescent="0.3">
      <c r="A82" s="14">
        <v>46036</v>
      </c>
      <c r="B82" s="15">
        <v>46036.338888888888</v>
      </c>
      <c r="C82" s="16">
        <v>10</v>
      </c>
      <c r="D82" s="16" t="s">
        <v>66</v>
      </c>
      <c r="E82" s="16" t="s">
        <v>8</v>
      </c>
      <c r="F82" s="16" t="s">
        <v>67</v>
      </c>
      <c r="G82" s="16" t="s">
        <v>68</v>
      </c>
      <c r="H82" s="16">
        <v>10</v>
      </c>
      <c r="I82" s="16">
        <v>282.60000000000002</v>
      </c>
      <c r="J82" s="16">
        <v>283.33</v>
      </c>
    </row>
    <row r="83" spans="1:10" ht="13.95" customHeight="1" x14ac:dyDescent="0.3">
      <c r="A83" s="14">
        <v>46036</v>
      </c>
      <c r="B83" s="15">
        <v>46036.337500000001</v>
      </c>
      <c r="C83" s="16">
        <v>27</v>
      </c>
      <c r="D83" s="16" t="s">
        <v>66</v>
      </c>
      <c r="E83" s="16" t="s">
        <v>8</v>
      </c>
      <c r="F83" s="16" t="s">
        <v>60</v>
      </c>
      <c r="G83" s="16" t="s">
        <v>61</v>
      </c>
      <c r="H83" s="16">
        <v>1</v>
      </c>
      <c r="I83" s="16">
        <v>239.4</v>
      </c>
      <c r="J83" s="16">
        <v>239.71</v>
      </c>
    </row>
    <row r="84" spans="1:10" ht="13.95" customHeight="1" x14ac:dyDescent="0.3">
      <c r="A84" s="14">
        <v>46036</v>
      </c>
      <c r="B84" s="15">
        <v>46036.334722222222</v>
      </c>
      <c r="C84" s="16">
        <v>38</v>
      </c>
      <c r="D84" s="16" t="s">
        <v>66</v>
      </c>
      <c r="E84" s="16" t="s">
        <v>8</v>
      </c>
      <c r="F84" s="16" t="s">
        <v>52</v>
      </c>
      <c r="G84" s="16" t="s">
        <v>53</v>
      </c>
      <c r="H84" s="16">
        <v>5</v>
      </c>
      <c r="I84" s="16">
        <v>277.8</v>
      </c>
      <c r="J84" s="16">
        <v>277.39999999999998</v>
      </c>
    </row>
    <row r="85" spans="1:10" ht="13.95" customHeight="1" x14ac:dyDescent="0.3">
      <c r="A85" s="14">
        <v>46036</v>
      </c>
      <c r="B85" s="15">
        <v>46036.334722222222</v>
      </c>
      <c r="C85" s="16">
        <v>38</v>
      </c>
      <c r="D85" s="16" t="s">
        <v>66</v>
      </c>
      <c r="E85" s="16" t="s">
        <v>8</v>
      </c>
      <c r="F85" s="16" t="s">
        <v>52</v>
      </c>
      <c r="G85" s="16" t="s">
        <v>53</v>
      </c>
      <c r="H85" s="16">
        <v>5</v>
      </c>
      <c r="I85" s="16">
        <v>277.8</v>
      </c>
      <c r="J85" s="16">
        <v>277.39999999999998</v>
      </c>
    </row>
    <row r="86" spans="1:10" ht="13.95" customHeight="1" x14ac:dyDescent="0.3">
      <c r="A86" s="14">
        <v>46036</v>
      </c>
      <c r="B86" s="15">
        <v>46036.334027777775</v>
      </c>
      <c r="C86" s="16">
        <v>33</v>
      </c>
      <c r="D86" s="16" t="s">
        <v>66</v>
      </c>
      <c r="E86" s="16" t="s">
        <v>8</v>
      </c>
      <c r="F86" s="16" t="s">
        <v>64</v>
      </c>
      <c r="G86" s="16" t="s">
        <v>65</v>
      </c>
      <c r="H86" s="16">
        <v>6</v>
      </c>
      <c r="I86" s="16">
        <v>249.9</v>
      </c>
      <c r="J86" s="16">
        <v>249.7</v>
      </c>
    </row>
    <row r="87" spans="1:10" ht="13.95" customHeight="1" x14ac:dyDescent="0.3">
      <c r="A87" s="14">
        <v>46036</v>
      </c>
      <c r="B87" s="15">
        <v>46036.334027777775</v>
      </c>
      <c r="C87" s="16">
        <v>33</v>
      </c>
      <c r="D87" s="16" t="s">
        <v>66</v>
      </c>
      <c r="E87" s="16" t="s">
        <v>8</v>
      </c>
      <c r="F87" s="16" t="s">
        <v>64</v>
      </c>
      <c r="G87" s="16" t="s">
        <v>65</v>
      </c>
      <c r="H87" s="16">
        <v>6</v>
      </c>
      <c r="I87" s="16">
        <v>249.9</v>
      </c>
      <c r="J87" s="16">
        <v>249.7</v>
      </c>
    </row>
    <row r="88" spans="1:10" ht="13.95" customHeight="1" x14ac:dyDescent="0.3">
      <c r="A88" s="14">
        <v>46036</v>
      </c>
      <c r="B88" s="15">
        <v>46036.3125</v>
      </c>
      <c r="C88" s="16">
        <v>26</v>
      </c>
      <c r="D88" s="16" t="s">
        <v>66</v>
      </c>
      <c r="E88" s="16" t="s">
        <v>8</v>
      </c>
      <c r="F88" s="16" t="s">
        <v>50</v>
      </c>
      <c r="G88" s="16" t="s">
        <v>51</v>
      </c>
      <c r="H88" s="16">
        <v>12</v>
      </c>
      <c r="I88" s="16">
        <v>166.2</v>
      </c>
      <c r="J88" s="16">
        <v>166.89</v>
      </c>
    </row>
    <row r="89" spans="1:10" ht="13.95" customHeight="1" x14ac:dyDescent="0.3">
      <c r="A89" s="14">
        <v>46036</v>
      </c>
      <c r="B89" s="15">
        <v>46036.30972222222</v>
      </c>
      <c r="C89" s="16">
        <v>25</v>
      </c>
      <c r="D89" s="16" t="s">
        <v>66</v>
      </c>
      <c r="E89" s="16" t="s">
        <v>8</v>
      </c>
      <c r="F89" s="16" t="s">
        <v>58</v>
      </c>
      <c r="G89" s="16" t="s">
        <v>59</v>
      </c>
      <c r="H89" s="16">
        <v>2</v>
      </c>
      <c r="I89" s="16">
        <v>220.2</v>
      </c>
      <c r="J89" s="16">
        <v>219.86</v>
      </c>
    </row>
    <row r="90" spans="1:10" ht="13.95" customHeight="1" x14ac:dyDescent="0.3">
      <c r="A90" s="14">
        <v>46036</v>
      </c>
      <c r="B90" s="15">
        <v>46036.304861111108</v>
      </c>
      <c r="C90" s="16">
        <v>24</v>
      </c>
      <c r="D90" s="16" t="s">
        <v>66</v>
      </c>
      <c r="E90" s="16" t="s">
        <v>8</v>
      </c>
      <c r="F90" s="16" t="s">
        <v>56</v>
      </c>
      <c r="G90" s="16" t="s">
        <v>57</v>
      </c>
      <c r="H90" s="16">
        <v>20</v>
      </c>
      <c r="I90" s="16">
        <v>249</v>
      </c>
      <c r="J90" s="16">
        <v>249.98</v>
      </c>
    </row>
    <row r="91" spans="1:10" ht="13.95" customHeight="1" x14ac:dyDescent="0.3">
      <c r="A91" s="14">
        <v>46036</v>
      </c>
      <c r="B91" s="15">
        <v>46036.304166666669</v>
      </c>
      <c r="C91" s="16">
        <v>10</v>
      </c>
      <c r="D91" s="16" t="s">
        <v>66</v>
      </c>
      <c r="E91" s="16" t="s">
        <v>8</v>
      </c>
      <c r="F91" s="16" t="s">
        <v>67</v>
      </c>
      <c r="G91" s="16" t="s">
        <v>68</v>
      </c>
      <c r="H91" s="16">
        <v>10</v>
      </c>
      <c r="I91" s="16">
        <v>282.60000000000002</v>
      </c>
      <c r="J91" s="16">
        <v>283.52999999999997</v>
      </c>
    </row>
    <row r="92" spans="1:10" ht="13.95" customHeight="1" x14ac:dyDescent="0.3">
      <c r="A92" s="14">
        <v>46036</v>
      </c>
      <c r="B92" s="15">
        <v>46036.3</v>
      </c>
      <c r="C92" s="16">
        <v>33</v>
      </c>
      <c r="D92" s="16" t="s">
        <v>66</v>
      </c>
      <c r="E92" s="16" t="s">
        <v>8</v>
      </c>
      <c r="F92" s="16" t="s">
        <v>64</v>
      </c>
      <c r="G92" s="16" t="s">
        <v>65</v>
      </c>
      <c r="H92" s="16">
        <v>6</v>
      </c>
      <c r="I92" s="16">
        <v>249.9</v>
      </c>
      <c r="J92" s="16">
        <v>249.2</v>
      </c>
    </row>
    <row r="93" spans="1:10" ht="13.95" customHeight="1" x14ac:dyDescent="0.3">
      <c r="A93" s="14">
        <v>46036</v>
      </c>
      <c r="B93" s="15">
        <v>46036.294444444444</v>
      </c>
      <c r="C93" s="16">
        <v>27</v>
      </c>
      <c r="D93" s="16" t="s">
        <v>66</v>
      </c>
      <c r="E93" s="16" t="s">
        <v>8</v>
      </c>
      <c r="F93" s="16" t="s">
        <v>60</v>
      </c>
      <c r="G93" s="16" t="s">
        <v>61</v>
      </c>
      <c r="H93" s="16">
        <v>1</v>
      </c>
      <c r="I93" s="16">
        <v>239.4</v>
      </c>
      <c r="J93" s="16">
        <v>239.88</v>
      </c>
    </row>
    <row r="94" spans="1:10" ht="13.95" customHeight="1" x14ac:dyDescent="0.3">
      <c r="A94" s="14">
        <v>46036</v>
      </c>
      <c r="B94" s="15">
        <v>46036.286805555559</v>
      </c>
      <c r="C94" s="16">
        <v>27</v>
      </c>
      <c r="D94" s="16" t="s">
        <v>66</v>
      </c>
      <c r="E94" s="16" t="s">
        <v>8</v>
      </c>
      <c r="F94" s="16" t="s">
        <v>60</v>
      </c>
      <c r="G94" s="16" t="s">
        <v>61</v>
      </c>
      <c r="H94" s="16">
        <v>1</v>
      </c>
      <c r="I94" s="16">
        <v>239.4</v>
      </c>
      <c r="J94" s="16">
        <v>240.32</v>
      </c>
    </row>
    <row r="95" spans="1:10" ht="13.95" customHeight="1" x14ac:dyDescent="0.3">
      <c r="A95" s="14">
        <v>46036</v>
      </c>
      <c r="B95" s="15">
        <v>46036.282638888886</v>
      </c>
      <c r="C95" s="16">
        <v>33</v>
      </c>
      <c r="D95" s="16" t="s">
        <v>66</v>
      </c>
      <c r="E95" s="16" t="s">
        <v>8</v>
      </c>
      <c r="F95" s="16" t="s">
        <v>64</v>
      </c>
      <c r="G95" s="16" t="s">
        <v>65</v>
      </c>
      <c r="H95" s="16">
        <v>6</v>
      </c>
      <c r="I95" s="16">
        <v>249.9</v>
      </c>
      <c r="J95" s="16">
        <v>250.2</v>
      </c>
    </row>
    <row r="96" spans="1:10" ht="13.95" customHeight="1" x14ac:dyDescent="0.3">
      <c r="A96" s="14">
        <v>46036</v>
      </c>
      <c r="B96" s="15">
        <v>46036.281944444447</v>
      </c>
      <c r="C96" s="16">
        <v>24</v>
      </c>
      <c r="D96" s="16" t="s">
        <v>66</v>
      </c>
      <c r="E96" s="16" t="s">
        <v>8</v>
      </c>
      <c r="F96" s="16" t="s">
        <v>56</v>
      </c>
      <c r="G96" s="16" t="s">
        <v>57</v>
      </c>
      <c r="H96" s="16">
        <v>20</v>
      </c>
      <c r="I96" s="16">
        <v>249</v>
      </c>
      <c r="J96" s="16">
        <v>249.46</v>
      </c>
    </row>
    <row r="97" spans="1:10" ht="13.95" customHeight="1" x14ac:dyDescent="0.3">
      <c r="A97" s="14">
        <v>46036</v>
      </c>
      <c r="B97" s="15">
        <v>46036.28125</v>
      </c>
      <c r="C97" s="16">
        <v>38</v>
      </c>
      <c r="D97" s="16" t="s">
        <v>66</v>
      </c>
      <c r="E97" s="16" t="s">
        <v>8</v>
      </c>
      <c r="F97" s="16" t="s">
        <v>52</v>
      </c>
      <c r="G97" s="16" t="s">
        <v>53</v>
      </c>
      <c r="H97" s="16">
        <v>5</v>
      </c>
      <c r="I97" s="16">
        <v>277.8</v>
      </c>
      <c r="J97" s="16">
        <v>278.2</v>
      </c>
    </row>
    <row r="98" spans="1:10" ht="13.95" customHeight="1" x14ac:dyDescent="0.3">
      <c r="A98" s="14">
        <v>46036</v>
      </c>
      <c r="B98" s="15">
        <v>46036.279166666667</v>
      </c>
      <c r="C98" s="16">
        <v>10</v>
      </c>
      <c r="D98" s="16" t="s">
        <v>66</v>
      </c>
      <c r="E98" s="16" t="s">
        <v>8</v>
      </c>
      <c r="F98" s="16" t="s">
        <v>67</v>
      </c>
      <c r="G98" s="16" t="s">
        <v>68</v>
      </c>
      <c r="H98" s="16">
        <v>10</v>
      </c>
      <c r="I98" s="16">
        <v>282.60000000000002</v>
      </c>
      <c r="J98" s="16">
        <v>283.76</v>
      </c>
    </row>
    <row r="99" spans="1:10" ht="13.95" customHeight="1" x14ac:dyDescent="0.3">
      <c r="A99" s="14">
        <v>46038</v>
      </c>
      <c r="B99" s="15">
        <v>46039.261111111111</v>
      </c>
      <c r="C99" s="16">
        <v>25</v>
      </c>
      <c r="D99" s="16" t="s">
        <v>70</v>
      </c>
      <c r="E99" s="16" t="s">
        <v>11</v>
      </c>
      <c r="F99" s="16" t="s">
        <v>58</v>
      </c>
      <c r="G99" s="16" t="s">
        <v>59</v>
      </c>
      <c r="H99" s="16">
        <v>4</v>
      </c>
      <c r="I99" s="16">
        <v>220.2</v>
      </c>
      <c r="J99" s="16">
        <v>219.86</v>
      </c>
    </row>
    <row r="100" spans="1:10" ht="13.95" customHeight="1" x14ac:dyDescent="0.3">
      <c r="A100" s="14">
        <v>46038</v>
      </c>
      <c r="B100" s="15">
        <v>46039.257638888892</v>
      </c>
      <c r="C100" s="16">
        <v>34</v>
      </c>
      <c r="D100" s="16" t="s">
        <v>70</v>
      </c>
      <c r="E100" s="16" t="s">
        <v>11</v>
      </c>
      <c r="F100" s="16" t="s">
        <v>71</v>
      </c>
      <c r="G100" s="16" t="s">
        <v>61</v>
      </c>
      <c r="H100" s="16">
        <v>9</v>
      </c>
      <c r="I100" s="16">
        <v>229.2</v>
      </c>
      <c r="J100" s="16">
        <v>248.5</v>
      </c>
    </row>
    <row r="101" spans="1:10" ht="13.95" customHeight="1" x14ac:dyDescent="0.3">
      <c r="A101" s="14">
        <v>46038</v>
      </c>
      <c r="B101" s="15">
        <v>46039.254166666666</v>
      </c>
      <c r="C101" s="16">
        <v>26</v>
      </c>
      <c r="D101" s="16" t="s">
        <v>70</v>
      </c>
      <c r="E101" s="16" t="s">
        <v>11</v>
      </c>
      <c r="F101" s="16" t="s">
        <v>50</v>
      </c>
      <c r="G101" s="16" t="s">
        <v>51</v>
      </c>
      <c r="H101" s="16">
        <v>15</v>
      </c>
      <c r="I101" s="16">
        <v>166.2</v>
      </c>
      <c r="J101" s="16">
        <v>167.82</v>
      </c>
    </row>
    <row r="102" spans="1:10" ht="13.95" customHeight="1" x14ac:dyDescent="0.3">
      <c r="A102" s="14">
        <v>46038</v>
      </c>
      <c r="B102" s="15">
        <v>46039.252083333333</v>
      </c>
      <c r="C102" s="16">
        <v>24</v>
      </c>
      <c r="D102" s="16" t="s">
        <v>70</v>
      </c>
      <c r="E102" s="16" t="s">
        <v>11</v>
      </c>
      <c r="F102" s="16" t="s">
        <v>56</v>
      </c>
      <c r="G102" s="16" t="s">
        <v>57</v>
      </c>
      <c r="H102" s="16">
        <v>24</v>
      </c>
      <c r="I102" s="16">
        <v>249</v>
      </c>
      <c r="J102" s="16">
        <v>249.09</v>
      </c>
    </row>
    <row r="103" spans="1:10" ht="13.95" customHeight="1" x14ac:dyDescent="0.3">
      <c r="A103" s="14">
        <v>46038</v>
      </c>
      <c r="B103" s="15">
        <v>46039.251388888886</v>
      </c>
      <c r="C103" s="16">
        <v>10</v>
      </c>
      <c r="D103" s="16" t="s">
        <v>70</v>
      </c>
      <c r="E103" s="16" t="s">
        <v>11</v>
      </c>
      <c r="F103" s="16" t="s">
        <v>54</v>
      </c>
      <c r="G103" s="16" t="s">
        <v>55</v>
      </c>
      <c r="H103" s="16">
        <v>2</v>
      </c>
      <c r="I103" s="16">
        <v>278.10000000000002</v>
      </c>
      <c r="J103" s="16">
        <v>278.08</v>
      </c>
    </row>
    <row r="104" spans="1:10" ht="13.95" customHeight="1" x14ac:dyDescent="0.3">
      <c r="A104" s="14">
        <v>46038</v>
      </c>
      <c r="B104" s="15">
        <v>46039.23541666667</v>
      </c>
      <c r="C104" s="16">
        <v>37</v>
      </c>
      <c r="D104" s="16" t="s">
        <v>70</v>
      </c>
      <c r="E104" s="16" t="s">
        <v>11</v>
      </c>
      <c r="F104" s="16" t="s">
        <v>52</v>
      </c>
      <c r="G104" s="16" t="s">
        <v>53</v>
      </c>
      <c r="H104" s="16">
        <v>5</v>
      </c>
      <c r="I104" s="16">
        <v>277.8</v>
      </c>
      <c r="J104" s="16">
        <v>282.92</v>
      </c>
    </row>
    <row r="105" spans="1:10" ht="13.95" customHeight="1" x14ac:dyDescent="0.3">
      <c r="A105" s="14">
        <v>46038</v>
      </c>
      <c r="B105" s="15">
        <v>46039.232638888891</v>
      </c>
      <c r="C105" s="16">
        <v>9</v>
      </c>
      <c r="D105" s="16" t="s">
        <v>70</v>
      </c>
      <c r="E105" s="16" t="s">
        <v>11</v>
      </c>
      <c r="F105" s="16" t="s">
        <v>50</v>
      </c>
      <c r="G105" s="16" t="s">
        <v>51</v>
      </c>
      <c r="H105" s="16">
        <v>15</v>
      </c>
      <c r="I105" s="16">
        <v>166.2</v>
      </c>
      <c r="J105" s="16">
        <v>166.32</v>
      </c>
    </row>
    <row r="106" spans="1:10" ht="13.95" customHeight="1" x14ac:dyDescent="0.3">
      <c r="A106" s="14">
        <v>46038</v>
      </c>
      <c r="B106" s="15">
        <v>46039.228472222225</v>
      </c>
      <c r="C106" s="16">
        <v>27</v>
      </c>
      <c r="D106" s="16" t="s">
        <v>70</v>
      </c>
      <c r="E106" s="16" t="s">
        <v>11</v>
      </c>
      <c r="F106" s="16" t="s">
        <v>60</v>
      </c>
      <c r="G106" s="16" t="s">
        <v>61</v>
      </c>
      <c r="H106" s="16">
        <v>2</v>
      </c>
      <c r="I106" s="16">
        <v>239.4</v>
      </c>
      <c r="J106" s="16">
        <v>239.21</v>
      </c>
    </row>
    <row r="107" spans="1:10" ht="13.95" customHeight="1" x14ac:dyDescent="0.3">
      <c r="A107" s="14">
        <v>46038</v>
      </c>
      <c r="B107" s="15">
        <v>46039.227777777778</v>
      </c>
      <c r="C107" s="16">
        <v>36</v>
      </c>
      <c r="D107" s="16" t="s">
        <v>70</v>
      </c>
      <c r="E107" s="16" t="s">
        <v>11</v>
      </c>
      <c r="F107" s="16" t="s">
        <v>72</v>
      </c>
      <c r="G107" s="16" t="s">
        <v>51</v>
      </c>
      <c r="H107" s="16">
        <v>15</v>
      </c>
      <c r="I107" s="16">
        <v>166.8</v>
      </c>
      <c r="J107" s="16">
        <v>167.36</v>
      </c>
    </row>
    <row r="108" spans="1:10" ht="13.95" customHeight="1" x14ac:dyDescent="0.3">
      <c r="A108" s="14">
        <v>46038</v>
      </c>
      <c r="B108" s="15">
        <v>46039.227083333331</v>
      </c>
      <c r="C108" s="16">
        <v>34</v>
      </c>
      <c r="D108" s="16" t="s">
        <v>70</v>
      </c>
      <c r="E108" s="16" t="s">
        <v>11</v>
      </c>
      <c r="F108" s="16" t="s">
        <v>71</v>
      </c>
      <c r="G108" s="16" t="s">
        <v>61</v>
      </c>
      <c r="H108" s="16">
        <v>9</v>
      </c>
      <c r="I108" s="16">
        <v>229.2</v>
      </c>
      <c r="J108" s="16">
        <v>248.3</v>
      </c>
    </row>
    <row r="109" spans="1:10" ht="13.95" customHeight="1" x14ac:dyDescent="0.3">
      <c r="A109" s="14">
        <v>46038</v>
      </c>
      <c r="B109" s="15">
        <v>46039.226388888892</v>
      </c>
      <c r="C109" s="16">
        <v>35</v>
      </c>
      <c r="D109" s="16" t="s">
        <v>70</v>
      </c>
      <c r="E109" s="16" t="s">
        <v>11</v>
      </c>
      <c r="F109" s="16" t="s">
        <v>73</v>
      </c>
      <c r="G109" s="16" t="s">
        <v>63</v>
      </c>
      <c r="H109" s="16">
        <v>14</v>
      </c>
      <c r="I109" s="16">
        <v>284.39999999999998</v>
      </c>
      <c r="J109" s="16">
        <v>281.77999999999997</v>
      </c>
    </row>
    <row r="110" spans="1:10" ht="13.95" customHeight="1" x14ac:dyDescent="0.3">
      <c r="A110" s="14">
        <v>46038</v>
      </c>
      <c r="B110" s="15">
        <v>46039.21875</v>
      </c>
      <c r="C110" s="16">
        <v>28</v>
      </c>
      <c r="D110" s="16" t="s">
        <v>70</v>
      </c>
      <c r="E110" s="16" t="s">
        <v>11</v>
      </c>
      <c r="F110" s="16" t="s">
        <v>56</v>
      </c>
      <c r="G110" s="16" t="s">
        <v>57</v>
      </c>
      <c r="H110" s="16">
        <v>24</v>
      </c>
      <c r="I110" s="16">
        <v>249</v>
      </c>
      <c r="J110" s="16">
        <v>248.69</v>
      </c>
    </row>
    <row r="111" spans="1:10" ht="13.95" customHeight="1" x14ac:dyDescent="0.3">
      <c r="A111" s="14">
        <v>46038</v>
      </c>
      <c r="B111" s="15">
        <v>46039.218055555553</v>
      </c>
      <c r="C111" s="16">
        <v>26</v>
      </c>
      <c r="D111" s="16" t="s">
        <v>70</v>
      </c>
      <c r="E111" s="16" t="s">
        <v>11</v>
      </c>
      <c r="F111" s="16" t="s">
        <v>50</v>
      </c>
      <c r="G111" s="16" t="s">
        <v>51</v>
      </c>
      <c r="H111" s="16">
        <v>15</v>
      </c>
      <c r="I111" s="16">
        <v>166.2</v>
      </c>
      <c r="J111" s="16">
        <v>166.35</v>
      </c>
    </row>
    <row r="112" spans="1:10" ht="13.95" customHeight="1" x14ac:dyDescent="0.3">
      <c r="A112" s="14">
        <v>46038</v>
      </c>
      <c r="B112" s="15">
        <v>46039.217361111114</v>
      </c>
      <c r="C112" s="16">
        <v>33</v>
      </c>
      <c r="D112" s="16" t="s">
        <v>70</v>
      </c>
      <c r="E112" s="16" t="s">
        <v>11</v>
      </c>
      <c r="F112" s="16" t="s">
        <v>64</v>
      </c>
      <c r="G112" s="16" t="s">
        <v>65</v>
      </c>
      <c r="H112" s="16">
        <v>9</v>
      </c>
      <c r="I112" s="16">
        <v>249.9</v>
      </c>
      <c r="J112" s="16">
        <v>250.2</v>
      </c>
    </row>
    <row r="113" spans="1:10" ht="13.95" customHeight="1" x14ac:dyDescent="0.3">
      <c r="A113" s="14">
        <v>46038</v>
      </c>
      <c r="B113" s="15">
        <v>46039.21597222222</v>
      </c>
      <c r="C113" s="16">
        <v>25</v>
      </c>
      <c r="D113" s="16" t="s">
        <v>70</v>
      </c>
      <c r="E113" s="16" t="s">
        <v>11</v>
      </c>
      <c r="F113" s="16" t="s">
        <v>58</v>
      </c>
      <c r="G113" s="16" t="s">
        <v>59</v>
      </c>
      <c r="H113" s="16">
        <v>4</v>
      </c>
      <c r="I113" s="16">
        <v>220.2</v>
      </c>
      <c r="J113" s="16">
        <v>220.06</v>
      </c>
    </row>
    <row r="114" spans="1:10" ht="13.95" customHeight="1" x14ac:dyDescent="0.3">
      <c r="A114" s="14">
        <v>46038</v>
      </c>
      <c r="B114" s="15">
        <v>46039.211111111108</v>
      </c>
      <c r="C114" s="16">
        <v>20</v>
      </c>
      <c r="D114" s="16" t="s">
        <v>70</v>
      </c>
      <c r="E114" s="16" t="s">
        <v>11</v>
      </c>
      <c r="F114" s="16" t="s">
        <v>69</v>
      </c>
      <c r="G114" s="16" t="s">
        <v>51</v>
      </c>
      <c r="H114" s="16">
        <v>15</v>
      </c>
      <c r="I114" s="16">
        <v>173.4</v>
      </c>
      <c r="J114" s="16">
        <v>173</v>
      </c>
    </row>
    <row r="115" spans="1:10" ht="13.95" customHeight="1" x14ac:dyDescent="0.3">
      <c r="A115" s="14">
        <v>46038</v>
      </c>
      <c r="B115" s="15">
        <v>46039.211111111108</v>
      </c>
      <c r="C115" s="16">
        <v>20</v>
      </c>
      <c r="D115" s="16" t="s">
        <v>70</v>
      </c>
      <c r="E115" s="16" t="s">
        <v>11</v>
      </c>
      <c r="F115" s="16" t="s">
        <v>69</v>
      </c>
      <c r="G115" s="16" t="s">
        <v>51</v>
      </c>
      <c r="H115" s="16">
        <v>15</v>
      </c>
      <c r="I115" s="16">
        <v>173.4</v>
      </c>
      <c r="J115" s="16">
        <v>171.8</v>
      </c>
    </row>
    <row r="116" spans="1:10" ht="13.95" customHeight="1" x14ac:dyDescent="0.3">
      <c r="A116" s="14">
        <v>46038</v>
      </c>
      <c r="B116" s="15">
        <v>46039.210416666669</v>
      </c>
      <c r="C116" s="16">
        <v>24</v>
      </c>
      <c r="D116" s="16" t="s">
        <v>70</v>
      </c>
      <c r="E116" s="16" t="s">
        <v>11</v>
      </c>
      <c r="F116" s="16" t="s">
        <v>56</v>
      </c>
      <c r="G116" s="16" t="s">
        <v>57</v>
      </c>
      <c r="H116" s="16">
        <v>24</v>
      </c>
      <c r="I116" s="16">
        <v>249</v>
      </c>
      <c r="J116" s="16">
        <v>250.24</v>
      </c>
    </row>
    <row r="117" spans="1:10" ht="13.95" customHeight="1" x14ac:dyDescent="0.3">
      <c r="A117" s="14">
        <v>46038</v>
      </c>
      <c r="B117" s="15">
        <v>46039.209027777775</v>
      </c>
      <c r="C117" s="16">
        <v>10</v>
      </c>
      <c r="D117" s="16" t="s">
        <v>70</v>
      </c>
      <c r="E117" s="16" t="s">
        <v>11</v>
      </c>
      <c r="F117" s="16" t="s">
        <v>54</v>
      </c>
      <c r="G117" s="16" t="s">
        <v>55</v>
      </c>
      <c r="H117" s="16">
        <v>2</v>
      </c>
      <c r="I117" s="16">
        <v>278.10000000000002</v>
      </c>
      <c r="J117" s="16">
        <v>277.94</v>
      </c>
    </row>
    <row r="118" spans="1:10" ht="13.95" customHeight="1" x14ac:dyDescent="0.3">
      <c r="A118" s="14">
        <v>46038</v>
      </c>
      <c r="B118" s="15">
        <v>46039.206944444442</v>
      </c>
      <c r="C118" s="16">
        <v>10</v>
      </c>
      <c r="D118" s="16" t="s">
        <v>70</v>
      </c>
      <c r="E118" s="16" t="s">
        <v>11</v>
      </c>
      <c r="F118" s="16" t="s">
        <v>54</v>
      </c>
      <c r="G118" s="16" t="s">
        <v>55</v>
      </c>
      <c r="H118" s="16">
        <v>2</v>
      </c>
      <c r="I118" s="16">
        <v>278.10000000000002</v>
      </c>
      <c r="J118" s="16">
        <v>277.97000000000003</v>
      </c>
    </row>
    <row r="119" spans="1:10" ht="13.95" customHeight="1" x14ac:dyDescent="0.3">
      <c r="A119" s="14">
        <v>46038</v>
      </c>
      <c r="B119" s="15">
        <v>46039.194444444445</v>
      </c>
      <c r="C119" s="16">
        <v>35</v>
      </c>
      <c r="D119" s="16" t="s">
        <v>70</v>
      </c>
      <c r="E119" s="16" t="s">
        <v>11</v>
      </c>
      <c r="F119" s="16" t="s">
        <v>73</v>
      </c>
      <c r="G119" s="16" t="s">
        <v>63</v>
      </c>
      <c r="H119" s="16">
        <v>14</v>
      </c>
      <c r="I119" s="16">
        <v>284.39999999999998</v>
      </c>
      <c r="J119" s="16">
        <v>282.07</v>
      </c>
    </row>
    <row r="120" spans="1:10" ht="13.95" customHeight="1" x14ac:dyDescent="0.3">
      <c r="A120" s="14">
        <v>46038</v>
      </c>
      <c r="B120" s="15">
        <v>46039.19027777778</v>
      </c>
      <c r="C120" s="16">
        <v>16</v>
      </c>
      <c r="D120" s="16" t="s">
        <v>70</v>
      </c>
      <c r="E120" s="16" t="s">
        <v>11</v>
      </c>
      <c r="F120" s="16" t="s">
        <v>74</v>
      </c>
      <c r="G120" s="16" t="s">
        <v>75</v>
      </c>
      <c r="H120" s="16">
        <v>2</v>
      </c>
      <c r="I120" s="16">
        <v>269.76</v>
      </c>
      <c r="J120" s="16">
        <v>165.44</v>
      </c>
    </row>
    <row r="121" spans="1:10" ht="13.95" customHeight="1" x14ac:dyDescent="0.3">
      <c r="A121" s="14">
        <v>46038</v>
      </c>
      <c r="B121" s="15">
        <v>46039.189583333333</v>
      </c>
      <c r="C121" s="16">
        <v>25</v>
      </c>
      <c r="D121" s="16" t="s">
        <v>70</v>
      </c>
      <c r="E121" s="16" t="s">
        <v>11</v>
      </c>
      <c r="F121" s="16" t="s">
        <v>58</v>
      </c>
      <c r="G121" s="16" t="s">
        <v>59</v>
      </c>
      <c r="H121" s="16">
        <v>4</v>
      </c>
      <c r="I121" s="16">
        <v>220.2</v>
      </c>
      <c r="J121" s="16">
        <v>220.18</v>
      </c>
    </row>
    <row r="122" spans="1:10" ht="13.95" customHeight="1" x14ac:dyDescent="0.3">
      <c r="A122" s="14">
        <v>46038</v>
      </c>
      <c r="B122" s="15">
        <v>46039.186805555553</v>
      </c>
      <c r="C122" s="16">
        <v>33</v>
      </c>
      <c r="D122" s="16" t="s">
        <v>70</v>
      </c>
      <c r="E122" s="16" t="s">
        <v>11</v>
      </c>
      <c r="F122" s="16" t="s">
        <v>64</v>
      </c>
      <c r="G122" s="16" t="s">
        <v>65</v>
      </c>
      <c r="H122" s="16">
        <v>9</v>
      </c>
      <c r="I122" s="16">
        <v>249.9</v>
      </c>
      <c r="J122" s="16">
        <v>249.4</v>
      </c>
    </row>
    <row r="123" spans="1:10" ht="13.95" customHeight="1" x14ac:dyDescent="0.3">
      <c r="A123" s="14">
        <v>46038</v>
      </c>
      <c r="B123" s="15">
        <v>46039.185416666667</v>
      </c>
      <c r="C123" s="16">
        <v>36</v>
      </c>
      <c r="D123" s="16" t="s">
        <v>70</v>
      </c>
      <c r="E123" s="16" t="s">
        <v>11</v>
      </c>
      <c r="F123" s="16" t="s">
        <v>72</v>
      </c>
      <c r="G123" s="16" t="s">
        <v>51</v>
      </c>
      <c r="H123" s="16">
        <v>15</v>
      </c>
      <c r="I123" s="16">
        <v>166.8</v>
      </c>
      <c r="J123" s="16">
        <v>167.08</v>
      </c>
    </row>
    <row r="124" spans="1:10" ht="13.95" customHeight="1" x14ac:dyDescent="0.3">
      <c r="A124" s="14">
        <v>46038</v>
      </c>
      <c r="B124" s="15">
        <v>46039.181944444441</v>
      </c>
      <c r="C124" s="16">
        <v>28</v>
      </c>
      <c r="D124" s="16" t="s">
        <v>70</v>
      </c>
      <c r="E124" s="16" t="s">
        <v>11</v>
      </c>
      <c r="F124" s="16" t="s">
        <v>56</v>
      </c>
      <c r="G124" s="16" t="s">
        <v>57</v>
      </c>
      <c r="H124" s="16">
        <v>24</v>
      </c>
      <c r="I124" s="16">
        <v>249</v>
      </c>
      <c r="J124" s="16">
        <v>249.12</v>
      </c>
    </row>
    <row r="125" spans="1:10" ht="13.95" customHeight="1" x14ac:dyDescent="0.3">
      <c r="A125" s="14">
        <v>46038</v>
      </c>
      <c r="B125" s="15">
        <v>46039.181944444441</v>
      </c>
      <c r="C125" s="16">
        <v>27</v>
      </c>
      <c r="D125" s="16" t="s">
        <v>70</v>
      </c>
      <c r="E125" s="16" t="s">
        <v>11</v>
      </c>
      <c r="F125" s="16" t="s">
        <v>60</v>
      </c>
      <c r="G125" s="16" t="s">
        <v>61</v>
      </c>
      <c r="H125" s="16">
        <v>2</v>
      </c>
      <c r="I125" s="16">
        <v>239.4</v>
      </c>
      <c r="J125" s="16">
        <v>239.28</v>
      </c>
    </row>
    <row r="126" spans="1:10" ht="13.95" customHeight="1" x14ac:dyDescent="0.3">
      <c r="A126" s="14">
        <v>46038</v>
      </c>
      <c r="B126" s="15">
        <v>46039.181250000001</v>
      </c>
      <c r="C126" s="16">
        <v>27</v>
      </c>
      <c r="D126" s="16" t="s">
        <v>70</v>
      </c>
      <c r="E126" s="16" t="s">
        <v>11</v>
      </c>
      <c r="F126" s="16" t="s">
        <v>60</v>
      </c>
      <c r="G126" s="16" t="s">
        <v>61</v>
      </c>
      <c r="H126" s="16">
        <v>2</v>
      </c>
      <c r="I126" s="16">
        <v>239.4</v>
      </c>
      <c r="J126" s="16">
        <v>239.29</v>
      </c>
    </row>
    <row r="127" spans="1:10" ht="13.95" customHeight="1" x14ac:dyDescent="0.3">
      <c r="A127" s="14">
        <v>46038</v>
      </c>
      <c r="B127" s="15">
        <v>46039.177777777775</v>
      </c>
      <c r="C127" s="16">
        <v>38</v>
      </c>
      <c r="D127" s="16" t="s">
        <v>70</v>
      </c>
      <c r="E127" s="16" t="s">
        <v>11</v>
      </c>
      <c r="F127" s="16" t="s">
        <v>76</v>
      </c>
      <c r="G127" s="16" t="s">
        <v>77</v>
      </c>
      <c r="H127" s="16">
        <v>9</v>
      </c>
      <c r="I127" s="16">
        <v>289.8</v>
      </c>
      <c r="J127" s="16">
        <v>291</v>
      </c>
    </row>
    <row r="128" spans="1:10" ht="13.95" customHeight="1" x14ac:dyDescent="0.3">
      <c r="A128" s="14">
        <v>46038</v>
      </c>
      <c r="B128" s="15">
        <v>46039.174305555556</v>
      </c>
      <c r="C128" s="16">
        <v>35</v>
      </c>
      <c r="D128" s="16" t="s">
        <v>70</v>
      </c>
      <c r="E128" s="16" t="s">
        <v>11</v>
      </c>
      <c r="F128" s="16" t="s">
        <v>73</v>
      </c>
      <c r="G128" s="16" t="s">
        <v>63</v>
      </c>
      <c r="H128" s="16">
        <v>14</v>
      </c>
      <c r="I128" s="16">
        <v>284.39999999999998</v>
      </c>
      <c r="J128" s="16">
        <v>282.27</v>
      </c>
    </row>
    <row r="129" spans="1:10" ht="13.95" customHeight="1" x14ac:dyDescent="0.3">
      <c r="A129" s="14">
        <v>46038</v>
      </c>
      <c r="B129" s="15">
        <v>46039.17291666667</v>
      </c>
      <c r="C129" s="16">
        <v>34</v>
      </c>
      <c r="D129" s="16" t="s">
        <v>70</v>
      </c>
      <c r="E129" s="16" t="s">
        <v>11</v>
      </c>
      <c r="F129" s="16" t="s">
        <v>71</v>
      </c>
      <c r="G129" s="16" t="s">
        <v>61</v>
      </c>
      <c r="H129" s="16">
        <v>9</v>
      </c>
      <c r="I129" s="16">
        <v>229.2</v>
      </c>
      <c r="J129" s="16">
        <v>248.2</v>
      </c>
    </row>
    <row r="130" spans="1:10" ht="13.95" customHeight="1" x14ac:dyDescent="0.3">
      <c r="A130" s="14">
        <v>46038</v>
      </c>
      <c r="B130" s="15">
        <v>46039.172222222223</v>
      </c>
      <c r="C130" s="16">
        <v>24</v>
      </c>
      <c r="D130" s="16" t="s">
        <v>70</v>
      </c>
      <c r="E130" s="16" t="s">
        <v>11</v>
      </c>
      <c r="F130" s="16" t="s">
        <v>56</v>
      </c>
      <c r="G130" s="16" t="s">
        <v>57</v>
      </c>
      <c r="H130" s="16">
        <v>24</v>
      </c>
      <c r="I130" s="16">
        <v>249</v>
      </c>
      <c r="J130" s="16">
        <v>249.24</v>
      </c>
    </row>
    <row r="131" spans="1:10" ht="13.95" customHeight="1" x14ac:dyDescent="0.3">
      <c r="A131" s="14">
        <v>46038</v>
      </c>
      <c r="B131" s="15">
        <v>46039.169444444444</v>
      </c>
      <c r="C131" s="16">
        <v>16</v>
      </c>
      <c r="D131" s="16" t="s">
        <v>70</v>
      </c>
      <c r="E131" s="16" t="s">
        <v>11</v>
      </c>
      <c r="F131" s="16" t="s">
        <v>74</v>
      </c>
      <c r="G131" s="16" t="s">
        <v>75</v>
      </c>
      <c r="H131" s="16">
        <v>2</v>
      </c>
      <c r="I131" s="16">
        <v>269.76</v>
      </c>
      <c r="J131" s="16">
        <v>165.53</v>
      </c>
    </row>
    <row r="132" spans="1:10" ht="13.95" customHeight="1" x14ac:dyDescent="0.3">
      <c r="A132" s="14">
        <v>46038</v>
      </c>
      <c r="B132" s="15">
        <v>46039.168749999997</v>
      </c>
      <c r="C132" s="16">
        <v>26</v>
      </c>
      <c r="D132" s="16" t="s">
        <v>70</v>
      </c>
      <c r="E132" s="16" t="s">
        <v>11</v>
      </c>
      <c r="F132" s="16" t="s">
        <v>50</v>
      </c>
      <c r="G132" s="16" t="s">
        <v>51</v>
      </c>
      <c r="H132" s="16">
        <v>15</v>
      </c>
      <c r="I132" s="16">
        <v>166.2</v>
      </c>
      <c r="J132" s="16">
        <v>167.23</v>
      </c>
    </row>
    <row r="133" spans="1:10" ht="13.95" customHeight="1" x14ac:dyDescent="0.3">
      <c r="A133" s="14">
        <v>46038</v>
      </c>
      <c r="B133" s="15">
        <v>46039.168749999997</v>
      </c>
      <c r="C133" s="16">
        <v>24</v>
      </c>
      <c r="D133" s="16" t="s">
        <v>70</v>
      </c>
      <c r="E133" s="16" t="s">
        <v>11</v>
      </c>
      <c r="F133" s="16" t="s">
        <v>56</v>
      </c>
      <c r="G133" s="16" t="s">
        <v>57</v>
      </c>
      <c r="H133" s="16">
        <v>24</v>
      </c>
      <c r="I133" s="16">
        <v>249</v>
      </c>
      <c r="J133" s="16">
        <v>249.28</v>
      </c>
    </row>
    <row r="134" spans="1:10" ht="13.95" customHeight="1" x14ac:dyDescent="0.3">
      <c r="A134" s="14">
        <v>46038</v>
      </c>
      <c r="B134" s="15">
        <v>46039.167361111111</v>
      </c>
      <c r="C134" s="16">
        <v>10</v>
      </c>
      <c r="D134" s="16" t="s">
        <v>70</v>
      </c>
      <c r="E134" s="16" t="s">
        <v>11</v>
      </c>
      <c r="F134" s="16" t="s">
        <v>54</v>
      </c>
      <c r="G134" s="16" t="s">
        <v>55</v>
      </c>
      <c r="H134" s="16">
        <v>2</v>
      </c>
      <c r="I134" s="16">
        <v>278.10000000000002</v>
      </c>
      <c r="J134" s="16">
        <v>278.48</v>
      </c>
    </row>
    <row r="135" spans="1:10" ht="13.95" customHeight="1" x14ac:dyDescent="0.3">
      <c r="A135" s="14">
        <v>46038</v>
      </c>
      <c r="B135" s="15">
        <v>46039.152083333334</v>
      </c>
      <c r="C135" s="16">
        <v>28</v>
      </c>
      <c r="D135" s="16" t="s">
        <v>70</v>
      </c>
      <c r="E135" s="16" t="s">
        <v>11</v>
      </c>
      <c r="F135" s="16" t="s">
        <v>56</v>
      </c>
      <c r="G135" s="16" t="s">
        <v>57</v>
      </c>
      <c r="H135" s="16">
        <v>24</v>
      </c>
      <c r="I135" s="16">
        <v>249</v>
      </c>
      <c r="J135" s="16">
        <v>248.43</v>
      </c>
    </row>
    <row r="136" spans="1:10" ht="13.95" customHeight="1" x14ac:dyDescent="0.3">
      <c r="A136" s="14">
        <v>46038</v>
      </c>
      <c r="B136" s="15">
        <v>46039.149305555555</v>
      </c>
      <c r="C136" s="16">
        <v>33</v>
      </c>
      <c r="D136" s="16" t="s">
        <v>70</v>
      </c>
      <c r="E136" s="16" t="s">
        <v>11</v>
      </c>
      <c r="F136" s="16" t="s">
        <v>64</v>
      </c>
      <c r="G136" s="16" t="s">
        <v>65</v>
      </c>
      <c r="H136" s="16">
        <v>9</v>
      </c>
      <c r="I136" s="16">
        <v>249.9</v>
      </c>
      <c r="J136" s="16">
        <v>250.1</v>
      </c>
    </row>
    <row r="137" spans="1:10" ht="13.95" customHeight="1" x14ac:dyDescent="0.3">
      <c r="A137" s="14">
        <v>46038</v>
      </c>
      <c r="B137" s="15">
        <v>46039.138194444444</v>
      </c>
      <c r="C137" s="16">
        <v>24</v>
      </c>
      <c r="D137" s="16" t="s">
        <v>70</v>
      </c>
      <c r="E137" s="16" t="s">
        <v>11</v>
      </c>
      <c r="F137" s="16" t="s">
        <v>56</v>
      </c>
      <c r="G137" s="16" t="s">
        <v>57</v>
      </c>
      <c r="H137" s="16">
        <v>24</v>
      </c>
      <c r="I137" s="16">
        <v>249</v>
      </c>
      <c r="J137" s="16">
        <v>249.63</v>
      </c>
    </row>
    <row r="138" spans="1:10" ht="13.95" customHeight="1" x14ac:dyDescent="0.3">
      <c r="A138" s="14">
        <v>46038</v>
      </c>
      <c r="B138" s="15">
        <v>46039.137499999997</v>
      </c>
      <c r="C138" s="16">
        <v>34</v>
      </c>
      <c r="D138" s="16" t="s">
        <v>70</v>
      </c>
      <c r="E138" s="16" t="s">
        <v>11</v>
      </c>
      <c r="F138" s="16" t="s">
        <v>71</v>
      </c>
      <c r="G138" s="16" t="s">
        <v>61</v>
      </c>
      <c r="H138" s="16">
        <v>9</v>
      </c>
      <c r="I138" s="16">
        <v>229.2</v>
      </c>
      <c r="J138" s="16">
        <v>248.8</v>
      </c>
    </row>
    <row r="139" spans="1:10" ht="13.95" customHeight="1" x14ac:dyDescent="0.3">
      <c r="A139" s="14">
        <v>46038</v>
      </c>
      <c r="B139" s="15">
        <v>46039.133333333331</v>
      </c>
      <c r="C139" s="16">
        <v>27</v>
      </c>
      <c r="D139" s="16" t="s">
        <v>70</v>
      </c>
      <c r="E139" s="16" t="s">
        <v>11</v>
      </c>
      <c r="F139" s="16" t="s">
        <v>60</v>
      </c>
      <c r="G139" s="16" t="s">
        <v>61</v>
      </c>
      <c r="H139" s="16">
        <v>2</v>
      </c>
      <c r="I139" s="16">
        <v>239.4</v>
      </c>
      <c r="J139" s="16">
        <v>239.49</v>
      </c>
    </row>
    <row r="140" spans="1:10" ht="13.95" customHeight="1" x14ac:dyDescent="0.3">
      <c r="A140" s="14">
        <v>46038</v>
      </c>
      <c r="B140" s="15">
        <v>46039.131249999999</v>
      </c>
      <c r="C140" s="16">
        <v>10</v>
      </c>
      <c r="D140" s="16" t="s">
        <v>70</v>
      </c>
      <c r="E140" s="16" t="s">
        <v>11</v>
      </c>
      <c r="F140" s="16" t="s">
        <v>54</v>
      </c>
      <c r="G140" s="16" t="s">
        <v>55</v>
      </c>
      <c r="H140" s="16">
        <v>2</v>
      </c>
      <c r="I140" s="16">
        <v>278.10000000000002</v>
      </c>
      <c r="J140" s="16">
        <v>279.05</v>
      </c>
    </row>
    <row r="141" spans="1:10" ht="13.95" customHeight="1" x14ac:dyDescent="0.3">
      <c r="A141" s="14">
        <v>46038</v>
      </c>
      <c r="B141" s="15">
        <v>46039.130555555559</v>
      </c>
      <c r="C141" s="16">
        <v>35</v>
      </c>
      <c r="D141" s="16" t="s">
        <v>70</v>
      </c>
      <c r="E141" s="16" t="s">
        <v>11</v>
      </c>
      <c r="F141" s="16" t="s">
        <v>73</v>
      </c>
      <c r="G141" s="16" t="s">
        <v>63</v>
      </c>
      <c r="H141" s="16">
        <v>14</v>
      </c>
      <c r="I141" s="16">
        <v>284.39999999999998</v>
      </c>
      <c r="J141" s="16">
        <v>282.85000000000002</v>
      </c>
    </row>
    <row r="142" spans="1:10" ht="13.95" customHeight="1" x14ac:dyDescent="0.3">
      <c r="A142" s="14">
        <v>46038</v>
      </c>
      <c r="B142" s="15">
        <v>46039.12777777778</v>
      </c>
      <c r="C142" s="16">
        <v>25</v>
      </c>
      <c r="D142" s="16" t="s">
        <v>70</v>
      </c>
      <c r="E142" s="16" t="s">
        <v>11</v>
      </c>
      <c r="F142" s="16" t="s">
        <v>58</v>
      </c>
      <c r="G142" s="16" t="s">
        <v>59</v>
      </c>
      <c r="H142" s="16">
        <v>4</v>
      </c>
      <c r="I142" s="16">
        <v>220.2</v>
      </c>
      <c r="J142" s="16">
        <v>220.49</v>
      </c>
    </row>
    <row r="143" spans="1:10" ht="13.95" customHeight="1" x14ac:dyDescent="0.3">
      <c r="A143" s="14">
        <v>46038</v>
      </c>
      <c r="B143" s="15">
        <v>46039.127083333333</v>
      </c>
      <c r="C143" s="16">
        <v>26</v>
      </c>
      <c r="D143" s="16" t="s">
        <v>70</v>
      </c>
      <c r="E143" s="16" t="s">
        <v>11</v>
      </c>
      <c r="F143" s="16" t="s">
        <v>50</v>
      </c>
      <c r="G143" s="16" t="s">
        <v>51</v>
      </c>
      <c r="H143" s="16">
        <v>15</v>
      </c>
      <c r="I143" s="16">
        <v>166.2</v>
      </c>
      <c r="J143" s="16">
        <v>166.42</v>
      </c>
    </row>
    <row r="144" spans="1:10" ht="13.95" customHeight="1" x14ac:dyDescent="0.3">
      <c r="A144" s="14">
        <v>46038</v>
      </c>
      <c r="B144" s="15">
        <v>46039.127083333333</v>
      </c>
      <c r="C144" s="16">
        <v>20</v>
      </c>
      <c r="D144" s="16" t="s">
        <v>70</v>
      </c>
      <c r="E144" s="16" t="s">
        <v>11</v>
      </c>
      <c r="F144" s="16" t="s">
        <v>69</v>
      </c>
      <c r="G144" s="16" t="s">
        <v>51</v>
      </c>
      <c r="H144" s="16">
        <v>15</v>
      </c>
      <c r="I144" s="16">
        <v>173.4</v>
      </c>
      <c r="J144" s="16">
        <v>173.9</v>
      </c>
    </row>
    <row r="145" spans="1:10" ht="13.95" customHeight="1" x14ac:dyDescent="0.3">
      <c r="A145" s="14">
        <v>46038</v>
      </c>
      <c r="B145" s="15">
        <v>46039.125</v>
      </c>
      <c r="C145" s="16">
        <v>36</v>
      </c>
      <c r="D145" s="16" t="s">
        <v>70</v>
      </c>
      <c r="E145" s="16" t="s">
        <v>11</v>
      </c>
      <c r="F145" s="16" t="s">
        <v>72</v>
      </c>
      <c r="G145" s="16" t="s">
        <v>51</v>
      </c>
      <c r="H145" s="16">
        <v>15</v>
      </c>
      <c r="I145" s="16">
        <v>166.8</v>
      </c>
      <c r="J145" s="16">
        <v>167.59</v>
      </c>
    </row>
    <row r="146" spans="1:10" ht="13.95" customHeight="1" x14ac:dyDescent="0.3">
      <c r="A146" s="14">
        <v>46038</v>
      </c>
      <c r="B146" s="15">
        <v>46039.11041666667</v>
      </c>
      <c r="C146" s="16">
        <v>28</v>
      </c>
      <c r="D146" s="16" t="s">
        <v>70</v>
      </c>
      <c r="E146" s="16" t="s">
        <v>11</v>
      </c>
      <c r="F146" s="16" t="s">
        <v>56</v>
      </c>
      <c r="G146" s="16" t="s">
        <v>57</v>
      </c>
      <c r="H146" s="16">
        <v>24</v>
      </c>
      <c r="I146" s="16">
        <v>249</v>
      </c>
      <c r="J146" s="16">
        <v>248.63</v>
      </c>
    </row>
    <row r="147" spans="1:10" ht="13.95" customHeight="1" x14ac:dyDescent="0.3">
      <c r="A147" s="14">
        <v>46038</v>
      </c>
      <c r="B147" s="15">
        <v>46039.104861111111</v>
      </c>
      <c r="C147" s="16">
        <v>35</v>
      </c>
      <c r="D147" s="16" t="s">
        <v>70</v>
      </c>
      <c r="E147" s="16" t="s">
        <v>11</v>
      </c>
      <c r="F147" s="16" t="s">
        <v>73</v>
      </c>
      <c r="G147" s="16" t="s">
        <v>63</v>
      </c>
      <c r="H147" s="16">
        <v>14</v>
      </c>
      <c r="I147" s="16">
        <v>284.39999999999998</v>
      </c>
      <c r="J147" s="16">
        <v>283.25</v>
      </c>
    </row>
    <row r="148" spans="1:10" ht="13.95" customHeight="1" x14ac:dyDescent="0.3">
      <c r="A148" s="14">
        <v>46038</v>
      </c>
      <c r="B148" s="15">
        <v>46039.098611111112</v>
      </c>
      <c r="C148" s="16">
        <v>33</v>
      </c>
      <c r="D148" s="16" t="s">
        <v>70</v>
      </c>
      <c r="E148" s="16" t="s">
        <v>11</v>
      </c>
      <c r="F148" s="16" t="s">
        <v>64</v>
      </c>
      <c r="G148" s="16" t="s">
        <v>65</v>
      </c>
      <c r="H148" s="16">
        <v>9</v>
      </c>
      <c r="I148" s="16">
        <v>249.9</v>
      </c>
      <c r="J148" s="16">
        <v>250.1</v>
      </c>
    </row>
    <row r="149" spans="1:10" ht="13.95" customHeight="1" x14ac:dyDescent="0.3">
      <c r="A149" s="14">
        <v>46038</v>
      </c>
      <c r="B149" s="15">
        <v>46039.098611111112</v>
      </c>
      <c r="C149" s="16">
        <v>37</v>
      </c>
      <c r="D149" s="16" t="s">
        <v>70</v>
      </c>
      <c r="E149" s="16" t="s">
        <v>11</v>
      </c>
      <c r="F149" s="16" t="s">
        <v>52</v>
      </c>
      <c r="G149" s="16" t="s">
        <v>53</v>
      </c>
      <c r="H149" s="16">
        <v>5</v>
      </c>
      <c r="I149" s="16">
        <v>277.8</v>
      </c>
      <c r="J149" s="16">
        <v>282.14999999999998</v>
      </c>
    </row>
    <row r="150" spans="1:10" ht="13.95" customHeight="1" x14ac:dyDescent="0.3">
      <c r="A150" s="14">
        <v>46038</v>
      </c>
      <c r="B150" s="15">
        <v>46039.098611111112</v>
      </c>
      <c r="C150" s="16">
        <v>37</v>
      </c>
      <c r="D150" s="16" t="s">
        <v>70</v>
      </c>
      <c r="E150" s="16" t="s">
        <v>11</v>
      </c>
      <c r="F150" s="16" t="s">
        <v>52</v>
      </c>
      <c r="G150" s="16" t="s">
        <v>53</v>
      </c>
      <c r="H150" s="16">
        <v>5</v>
      </c>
      <c r="I150" s="16">
        <v>277.8</v>
      </c>
      <c r="J150" s="16">
        <v>282.14999999999998</v>
      </c>
    </row>
    <row r="151" spans="1:10" ht="13.95" customHeight="1" x14ac:dyDescent="0.3">
      <c r="A151" s="14">
        <v>46038</v>
      </c>
      <c r="B151" s="15">
        <v>46039.098611111112</v>
      </c>
      <c r="C151" s="16">
        <v>38</v>
      </c>
      <c r="D151" s="16" t="s">
        <v>70</v>
      </c>
      <c r="E151" s="16" t="s">
        <v>11</v>
      </c>
      <c r="F151" s="16" t="s">
        <v>52</v>
      </c>
      <c r="G151" s="16" t="s">
        <v>53</v>
      </c>
      <c r="H151" s="16">
        <v>5</v>
      </c>
      <c r="I151" s="16">
        <v>277.8</v>
      </c>
      <c r="J151" s="16">
        <v>278.5</v>
      </c>
    </row>
    <row r="152" spans="1:10" ht="13.95" customHeight="1" x14ac:dyDescent="0.3">
      <c r="A152" s="14">
        <v>46038</v>
      </c>
      <c r="B152" s="15">
        <v>46039.095138888886</v>
      </c>
      <c r="C152" s="16">
        <v>24</v>
      </c>
      <c r="D152" s="16" t="s">
        <v>70</v>
      </c>
      <c r="E152" s="16" t="s">
        <v>11</v>
      </c>
      <c r="F152" s="16" t="s">
        <v>56</v>
      </c>
      <c r="G152" s="16" t="s">
        <v>57</v>
      </c>
      <c r="H152" s="16">
        <v>24</v>
      </c>
      <c r="I152" s="16">
        <v>249</v>
      </c>
      <c r="J152" s="16">
        <v>249.6</v>
      </c>
    </row>
    <row r="153" spans="1:10" ht="13.95" customHeight="1" x14ac:dyDescent="0.3">
      <c r="A153" s="14">
        <v>46038</v>
      </c>
      <c r="B153" s="15">
        <v>46039.092361111114</v>
      </c>
      <c r="C153" s="16">
        <v>26</v>
      </c>
      <c r="D153" s="16" t="s">
        <v>70</v>
      </c>
      <c r="E153" s="16" t="s">
        <v>11</v>
      </c>
      <c r="F153" s="16" t="s">
        <v>50</v>
      </c>
      <c r="G153" s="16" t="s">
        <v>51</v>
      </c>
      <c r="H153" s="16">
        <v>15</v>
      </c>
      <c r="I153" s="16">
        <v>166.2</v>
      </c>
      <c r="J153" s="16">
        <v>167.04</v>
      </c>
    </row>
    <row r="154" spans="1:10" ht="13.95" customHeight="1" x14ac:dyDescent="0.3">
      <c r="A154" s="14">
        <v>46038</v>
      </c>
      <c r="B154" s="15">
        <v>46039.092361111114</v>
      </c>
      <c r="C154" s="16">
        <v>26</v>
      </c>
      <c r="D154" s="16" t="s">
        <v>70</v>
      </c>
      <c r="E154" s="16" t="s">
        <v>11</v>
      </c>
      <c r="F154" s="16" t="s">
        <v>50</v>
      </c>
      <c r="G154" s="16" t="s">
        <v>51</v>
      </c>
      <c r="H154" s="16">
        <v>15</v>
      </c>
      <c r="I154" s="16">
        <v>166.2</v>
      </c>
      <c r="J154" s="16">
        <v>168.16</v>
      </c>
    </row>
    <row r="155" spans="1:10" ht="13.95" customHeight="1" x14ac:dyDescent="0.3">
      <c r="A155" s="14">
        <v>46038</v>
      </c>
      <c r="B155" s="15">
        <v>46039.090277777781</v>
      </c>
      <c r="C155" s="16">
        <v>16</v>
      </c>
      <c r="D155" s="16" t="s">
        <v>70</v>
      </c>
      <c r="E155" s="16" t="s">
        <v>11</v>
      </c>
      <c r="F155" s="16" t="s">
        <v>74</v>
      </c>
      <c r="G155" s="16" t="s">
        <v>75</v>
      </c>
      <c r="H155" s="16">
        <v>2</v>
      </c>
      <c r="I155" s="16">
        <v>269.76</v>
      </c>
      <c r="J155" s="16">
        <v>165.15</v>
      </c>
    </row>
    <row r="156" spans="1:10" ht="13.95" customHeight="1" x14ac:dyDescent="0.3">
      <c r="A156" s="14">
        <v>46038</v>
      </c>
      <c r="B156" s="15">
        <v>46039.090277777781</v>
      </c>
      <c r="C156" s="16">
        <v>25</v>
      </c>
      <c r="D156" s="16" t="s">
        <v>70</v>
      </c>
      <c r="E156" s="16" t="s">
        <v>11</v>
      </c>
      <c r="F156" s="16" t="s">
        <v>58</v>
      </c>
      <c r="G156" s="16" t="s">
        <v>59</v>
      </c>
      <c r="H156" s="16">
        <v>4</v>
      </c>
      <c r="I156" s="16">
        <v>220.2</v>
      </c>
      <c r="J156" s="16">
        <v>220.82</v>
      </c>
    </row>
    <row r="157" spans="1:10" ht="13.95" customHeight="1" x14ac:dyDescent="0.3">
      <c r="A157" s="14">
        <v>46038</v>
      </c>
      <c r="B157" s="15">
        <v>46039.089583333334</v>
      </c>
      <c r="C157" s="16">
        <v>9</v>
      </c>
      <c r="D157" s="16" t="s">
        <v>70</v>
      </c>
      <c r="E157" s="16" t="s">
        <v>11</v>
      </c>
      <c r="F157" s="16" t="s">
        <v>50</v>
      </c>
      <c r="G157" s="16" t="s">
        <v>51</v>
      </c>
      <c r="H157" s="16">
        <v>15</v>
      </c>
      <c r="I157" s="16">
        <v>166.2</v>
      </c>
      <c r="J157" s="16">
        <v>166.85</v>
      </c>
    </row>
    <row r="158" spans="1:10" ht="13.95" customHeight="1" x14ac:dyDescent="0.3">
      <c r="A158" s="14">
        <v>46038</v>
      </c>
      <c r="B158" s="15">
        <v>46039.088888888888</v>
      </c>
      <c r="C158" s="16">
        <v>34</v>
      </c>
      <c r="D158" s="16" t="s">
        <v>70</v>
      </c>
      <c r="E158" s="16" t="s">
        <v>11</v>
      </c>
      <c r="F158" s="16" t="s">
        <v>78</v>
      </c>
      <c r="G158" s="16" t="s">
        <v>65</v>
      </c>
      <c r="H158" s="16">
        <v>8</v>
      </c>
      <c r="I158" s="16">
        <v>248</v>
      </c>
      <c r="J158" s="16">
        <v>249.6</v>
      </c>
    </row>
    <row r="159" spans="1:10" ht="13.95" customHeight="1" x14ac:dyDescent="0.3">
      <c r="A159" s="14">
        <v>46038</v>
      </c>
      <c r="B159" s="15">
        <v>46039.088888888888</v>
      </c>
      <c r="C159" s="16">
        <v>34</v>
      </c>
      <c r="D159" s="16" t="s">
        <v>70</v>
      </c>
      <c r="E159" s="16" t="s">
        <v>11</v>
      </c>
      <c r="F159" s="16" t="s">
        <v>78</v>
      </c>
      <c r="G159" s="16" t="s">
        <v>65</v>
      </c>
      <c r="H159" s="16">
        <v>8</v>
      </c>
      <c r="I159" s="16">
        <v>248</v>
      </c>
      <c r="J159" s="16">
        <v>249.6</v>
      </c>
    </row>
    <row r="160" spans="1:10" ht="13.95" customHeight="1" x14ac:dyDescent="0.3">
      <c r="A160" s="14">
        <v>46038</v>
      </c>
      <c r="B160" s="15">
        <v>46039.084722222222</v>
      </c>
      <c r="C160" s="16">
        <v>27</v>
      </c>
      <c r="D160" s="16" t="s">
        <v>70</v>
      </c>
      <c r="E160" s="16" t="s">
        <v>11</v>
      </c>
      <c r="F160" s="16" t="s">
        <v>60</v>
      </c>
      <c r="G160" s="16" t="s">
        <v>61</v>
      </c>
      <c r="H160" s="16">
        <v>2</v>
      </c>
      <c r="I160" s="16">
        <v>239.4</v>
      </c>
      <c r="J160" s="16">
        <v>239.88</v>
      </c>
    </row>
    <row r="161" spans="1:10" ht="13.95" customHeight="1" x14ac:dyDescent="0.3">
      <c r="A161" s="14">
        <v>46038</v>
      </c>
      <c r="B161" s="15">
        <v>46039.084027777775</v>
      </c>
      <c r="C161" s="16">
        <v>10</v>
      </c>
      <c r="D161" s="16" t="s">
        <v>70</v>
      </c>
      <c r="E161" s="16" t="s">
        <v>11</v>
      </c>
      <c r="F161" s="16" t="s">
        <v>54</v>
      </c>
      <c r="G161" s="16" t="s">
        <v>55</v>
      </c>
      <c r="H161" s="16">
        <v>2</v>
      </c>
      <c r="I161" s="16">
        <v>278.10000000000002</v>
      </c>
      <c r="J161" s="16">
        <v>278.76</v>
      </c>
    </row>
    <row r="162" spans="1:10" ht="13.95" customHeight="1" x14ac:dyDescent="0.3">
      <c r="A162" s="14">
        <v>46038</v>
      </c>
      <c r="B162" s="15">
        <v>46039.083333333336</v>
      </c>
      <c r="C162" s="16">
        <v>20</v>
      </c>
      <c r="D162" s="16" t="s">
        <v>70</v>
      </c>
      <c r="E162" s="16" t="s">
        <v>11</v>
      </c>
      <c r="F162" s="16" t="s">
        <v>69</v>
      </c>
      <c r="G162" s="16" t="s">
        <v>51</v>
      </c>
      <c r="H162" s="16">
        <v>15</v>
      </c>
      <c r="I162" s="16">
        <v>173.4</v>
      </c>
      <c r="J162" s="16">
        <v>172.6</v>
      </c>
    </row>
    <row r="163" spans="1:10" ht="13.95" customHeight="1" x14ac:dyDescent="0.3">
      <c r="A163" s="14">
        <v>46038</v>
      </c>
      <c r="B163" s="15">
        <v>46039.080555555556</v>
      </c>
      <c r="C163" s="16">
        <v>16</v>
      </c>
      <c r="D163" s="16" t="s">
        <v>70</v>
      </c>
      <c r="E163" s="16" t="s">
        <v>11</v>
      </c>
      <c r="F163" s="16" t="s">
        <v>74</v>
      </c>
      <c r="G163" s="16" t="s">
        <v>75</v>
      </c>
      <c r="H163" s="16">
        <v>2</v>
      </c>
      <c r="I163" s="16">
        <v>269.76</v>
      </c>
      <c r="J163" s="16">
        <v>165.24</v>
      </c>
    </row>
    <row r="164" spans="1:10" ht="13.95" customHeight="1" x14ac:dyDescent="0.3">
      <c r="A164" s="14">
        <v>46038</v>
      </c>
      <c r="B164" s="15">
        <v>46039.072916666664</v>
      </c>
      <c r="C164" s="16">
        <v>35</v>
      </c>
      <c r="D164" s="16" t="s">
        <v>70</v>
      </c>
      <c r="E164" s="16" t="s">
        <v>11</v>
      </c>
      <c r="F164" s="16" t="s">
        <v>73</v>
      </c>
      <c r="G164" s="16" t="s">
        <v>63</v>
      </c>
      <c r="H164" s="16">
        <v>14</v>
      </c>
      <c r="I164" s="16">
        <v>284.39999999999998</v>
      </c>
      <c r="J164" s="16">
        <v>284.02999999999997</v>
      </c>
    </row>
    <row r="165" spans="1:10" ht="13.95" customHeight="1" x14ac:dyDescent="0.3">
      <c r="A165" s="14">
        <v>46038</v>
      </c>
      <c r="B165" s="15">
        <v>46039.063194444447</v>
      </c>
      <c r="C165" s="16">
        <v>36</v>
      </c>
      <c r="D165" s="16" t="s">
        <v>70</v>
      </c>
      <c r="E165" s="16" t="s">
        <v>11</v>
      </c>
      <c r="F165" s="16" t="s">
        <v>72</v>
      </c>
      <c r="G165" s="16" t="s">
        <v>51</v>
      </c>
      <c r="H165" s="16">
        <v>270</v>
      </c>
      <c r="I165" s="16">
        <v>166.8</v>
      </c>
      <c r="J165" s="16">
        <v>167.25</v>
      </c>
    </row>
    <row r="166" spans="1:10" ht="13.95" customHeight="1" x14ac:dyDescent="0.3">
      <c r="A166" s="14">
        <v>46038</v>
      </c>
      <c r="B166" s="15">
        <v>46039.063194444447</v>
      </c>
      <c r="C166" s="16">
        <v>37</v>
      </c>
      <c r="D166" s="16" t="s">
        <v>70</v>
      </c>
      <c r="E166" s="16" t="s">
        <v>11</v>
      </c>
      <c r="F166" s="16" t="s">
        <v>52</v>
      </c>
      <c r="G166" s="16" t="s">
        <v>53</v>
      </c>
      <c r="H166" s="16">
        <v>5</v>
      </c>
      <c r="I166" s="16">
        <v>277.8</v>
      </c>
      <c r="J166" s="16">
        <v>281.45</v>
      </c>
    </row>
    <row r="167" spans="1:10" ht="13.95" customHeight="1" x14ac:dyDescent="0.3">
      <c r="A167" s="14">
        <v>46038</v>
      </c>
      <c r="B167" s="15">
        <v>46039.063194444447</v>
      </c>
      <c r="C167" s="16">
        <v>33</v>
      </c>
      <c r="D167" s="16" t="s">
        <v>70</v>
      </c>
      <c r="E167" s="16" t="s">
        <v>11</v>
      </c>
      <c r="F167" s="16" t="s">
        <v>64</v>
      </c>
      <c r="G167" s="16" t="s">
        <v>65</v>
      </c>
      <c r="H167" s="16">
        <v>9</v>
      </c>
      <c r="I167" s="16">
        <v>249.9</v>
      </c>
      <c r="J167" s="16">
        <v>249.9</v>
      </c>
    </row>
    <row r="168" spans="1:10" ht="13.95" customHeight="1" x14ac:dyDescent="0.3">
      <c r="A168" s="14">
        <v>46038</v>
      </c>
      <c r="B168" s="15">
        <v>46039.05972222222</v>
      </c>
      <c r="C168" s="16">
        <v>34</v>
      </c>
      <c r="D168" s="16" t="s">
        <v>70</v>
      </c>
      <c r="E168" s="16" t="s">
        <v>11</v>
      </c>
      <c r="F168" s="16" t="s">
        <v>78</v>
      </c>
      <c r="G168" s="16" t="s">
        <v>65</v>
      </c>
      <c r="H168" s="16">
        <v>8</v>
      </c>
      <c r="I168" s="16">
        <v>248</v>
      </c>
      <c r="J168" s="16">
        <v>248.7</v>
      </c>
    </row>
    <row r="169" spans="1:10" ht="13.95" customHeight="1" x14ac:dyDescent="0.3">
      <c r="A169" s="14">
        <v>46038</v>
      </c>
      <c r="B169" s="15">
        <v>46039.055555555555</v>
      </c>
      <c r="C169" s="16">
        <v>27</v>
      </c>
      <c r="D169" s="16" t="s">
        <v>70</v>
      </c>
      <c r="E169" s="16" t="s">
        <v>11</v>
      </c>
      <c r="F169" s="16" t="s">
        <v>60</v>
      </c>
      <c r="G169" s="16" t="s">
        <v>61</v>
      </c>
      <c r="H169" s="16">
        <v>2</v>
      </c>
      <c r="I169" s="16">
        <v>239.4</v>
      </c>
      <c r="J169" s="16">
        <v>240.26</v>
      </c>
    </row>
    <row r="170" spans="1:10" ht="13.95" customHeight="1" x14ac:dyDescent="0.3">
      <c r="A170" s="14">
        <v>46038</v>
      </c>
      <c r="B170" s="15">
        <v>46039.054166666669</v>
      </c>
      <c r="C170" s="16">
        <v>24</v>
      </c>
      <c r="D170" s="16" t="s">
        <v>70</v>
      </c>
      <c r="E170" s="16" t="s">
        <v>11</v>
      </c>
      <c r="F170" s="16" t="s">
        <v>56</v>
      </c>
      <c r="G170" s="16" t="s">
        <v>57</v>
      </c>
      <c r="H170" s="16">
        <v>24</v>
      </c>
      <c r="I170" s="16">
        <v>249</v>
      </c>
      <c r="J170" s="16">
        <v>248.5</v>
      </c>
    </row>
    <row r="171" spans="1:10" ht="13.95" customHeight="1" x14ac:dyDescent="0.3">
      <c r="A171" s="14">
        <v>46038</v>
      </c>
      <c r="B171" s="15">
        <v>46039.052083333336</v>
      </c>
      <c r="C171" s="16">
        <v>28</v>
      </c>
      <c r="D171" s="16" t="s">
        <v>70</v>
      </c>
      <c r="E171" s="16" t="s">
        <v>11</v>
      </c>
      <c r="F171" s="16" t="s">
        <v>56</v>
      </c>
      <c r="G171" s="16" t="s">
        <v>57</v>
      </c>
      <c r="H171" s="16">
        <v>24</v>
      </c>
      <c r="I171" s="16">
        <v>249</v>
      </c>
      <c r="J171" s="16">
        <v>248.93</v>
      </c>
    </row>
    <row r="172" spans="1:10" ht="13.95" customHeight="1" x14ac:dyDescent="0.3">
      <c r="A172" s="14">
        <v>46038</v>
      </c>
      <c r="B172" s="15">
        <v>46039.047222222223</v>
      </c>
      <c r="C172" s="16">
        <v>20</v>
      </c>
      <c r="D172" s="16" t="s">
        <v>70</v>
      </c>
      <c r="E172" s="16" t="s">
        <v>11</v>
      </c>
      <c r="F172" s="16" t="s">
        <v>69</v>
      </c>
      <c r="G172" s="16" t="s">
        <v>51</v>
      </c>
      <c r="H172" s="16">
        <v>15</v>
      </c>
      <c r="I172" s="16">
        <v>173.4</v>
      </c>
      <c r="J172" s="16">
        <v>172.9</v>
      </c>
    </row>
    <row r="173" spans="1:10" ht="13.95" customHeight="1" x14ac:dyDescent="0.3">
      <c r="A173" s="14">
        <v>46038</v>
      </c>
      <c r="B173" s="15">
        <v>46039.044444444444</v>
      </c>
      <c r="C173" s="16">
        <v>26</v>
      </c>
      <c r="D173" s="16" t="s">
        <v>70</v>
      </c>
      <c r="E173" s="16" t="s">
        <v>11</v>
      </c>
      <c r="F173" s="16" t="s">
        <v>50</v>
      </c>
      <c r="G173" s="16" t="s">
        <v>51</v>
      </c>
      <c r="H173" s="16">
        <v>15</v>
      </c>
      <c r="I173" s="16">
        <v>166.2</v>
      </c>
      <c r="J173" s="16">
        <v>166.77</v>
      </c>
    </row>
    <row r="174" spans="1:10" ht="13.95" customHeight="1" x14ac:dyDescent="0.3">
      <c r="A174" s="14">
        <v>46038</v>
      </c>
      <c r="B174" s="15">
        <v>46039.043055555558</v>
      </c>
      <c r="C174" s="16">
        <v>38</v>
      </c>
      <c r="D174" s="16" t="s">
        <v>70</v>
      </c>
      <c r="E174" s="16" t="s">
        <v>11</v>
      </c>
      <c r="F174" s="16" t="s">
        <v>52</v>
      </c>
      <c r="G174" s="16" t="s">
        <v>53</v>
      </c>
      <c r="H174" s="16">
        <v>5</v>
      </c>
      <c r="I174" s="16">
        <v>277.8</v>
      </c>
      <c r="J174" s="16">
        <v>277.3</v>
      </c>
    </row>
    <row r="175" spans="1:10" ht="13.95" customHeight="1" x14ac:dyDescent="0.3">
      <c r="A175" s="14">
        <v>46038</v>
      </c>
      <c r="B175" s="15">
        <v>46039.042361111111</v>
      </c>
      <c r="C175" s="16">
        <v>10</v>
      </c>
      <c r="D175" s="16" t="s">
        <v>70</v>
      </c>
      <c r="E175" s="16" t="s">
        <v>11</v>
      </c>
      <c r="F175" s="16" t="s">
        <v>54</v>
      </c>
      <c r="G175" s="16" t="s">
        <v>55</v>
      </c>
      <c r="H175" s="16">
        <v>2</v>
      </c>
      <c r="I175" s="16">
        <v>278.10000000000002</v>
      </c>
      <c r="J175" s="16">
        <v>278.39</v>
      </c>
    </row>
    <row r="176" spans="1:10" ht="13.95" customHeight="1" x14ac:dyDescent="0.3">
      <c r="A176" s="14">
        <v>46038</v>
      </c>
      <c r="B176" s="15">
        <v>46039.042361111111</v>
      </c>
      <c r="C176" s="16">
        <v>10</v>
      </c>
      <c r="D176" s="16" t="s">
        <v>70</v>
      </c>
      <c r="E176" s="16" t="s">
        <v>11</v>
      </c>
      <c r="F176" s="16" t="s">
        <v>54</v>
      </c>
      <c r="G176" s="16" t="s">
        <v>55</v>
      </c>
      <c r="H176" s="16">
        <v>2</v>
      </c>
      <c r="I176" s="16">
        <v>278.10000000000002</v>
      </c>
      <c r="J176" s="16">
        <v>278.39</v>
      </c>
    </row>
    <row r="177" spans="1:10" ht="13.95" customHeight="1" x14ac:dyDescent="0.3">
      <c r="A177" s="14">
        <v>46038</v>
      </c>
      <c r="B177" s="15">
        <v>46039.041666666664</v>
      </c>
      <c r="C177" s="16">
        <v>16</v>
      </c>
      <c r="D177" s="16" t="s">
        <v>70</v>
      </c>
      <c r="E177" s="16" t="s">
        <v>11</v>
      </c>
      <c r="F177" s="16" t="s">
        <v>74</v>
      </c>
      <c r="G177" s="16" t="s">
        <v>75</v>
      </c>
      <c r="H177" s="16">
        <v>2</v>
      </c>
      <c r="I177" s="16">
        <v>269.76</v>
      </c>
      <c r="J177" s="16">
        <v>165.39</v>
      </c>
    </row>
    <row r="178" spans="1:10" ht="13.95" customHeight="1" x14ac:dyDescent="0.3">
      <c r="A178" s="14">
        <v>46038</v>
      </c>
      <c r="B178" s="15">
        <v>46039.038194444445</v>
      </c>
      <c r="C178" s="16">
        <v>20</v>
      </c>
      <c r="D178" s="16" t="s">
        <v>70</v>
      </c>
      <c r="E178" s="16" t="s">
        <v>11</v>
      </c>
      <c r="F178" s="16" t="s">
        <v>69</v>
      </c>
      <c r="G178" s="16" t="s">
        <v>51</v>
      </c>
      <c r="H178" s="16">
        <v>15</v>
      </c>
      <c r="I178" s="16">
        <v>173.4</v>
      </c>
      <c r="J178" s="16">
        <v>172.4</v>
      </c>
    </row>
    <row r="179" spans="1:10" ht="13.95" customHeight="1" x14ac:dyDescent="0.3">
      <c r="A179" s="14">
        <v>46038</v>
      </c>
      <c r="B179" s="15">
        <v>46039.027083333334</v>
      </c>
      <c r="C179" s="16">
        <v>34</v>
      </c>
      <c r="D179" s="16" t="s">
        <v>70</v>
      </c>
      <c r="E179" s="16" t="s">
        <v>11</v>
      </c>
      <c r="F179" s="16" t="s">
        <v>78</v>
      </c>
      <c r="G179" s="16" t="s">
        <v>65</v>
      </c>
      <c r="H179" s="16">
        <v>7</v>
      </c>
      <c r="I179" s="16">
        <v>248</v>
      </c>
      <c r="J179" s="16">
        <v>248.3</v>
      </c>
    </row>
    <row r="180" spans="1:10" ht="13.95" customHeight="1" x14ac:dyDescent="0.3">
      <c r="A180" s="14">
        <v>46038</v>
      </c>
      <c r="B180" s="15">
        <v>46039.025000000001</v>
      </c>
      <c r="C180" s="16">
        <v>27</v>
      </c>
      <c r="D180" s="16" t="s">
        <v>70</v>
      </c>
      <c r="E180" s="16" t="s">
        <v>11</v>
      </c>
      <c r="F180" s="16" t="s">
        <v>60</v>
      </c>
      <c r="G180" s="16" t="s">
        <v>61</v>
      </c>
      <c r="H180" s="16">
        <v>2</v>
      </c>
      <c r="I180" s="16">
        <v>239.4</v>
      </c>
      <c r="J180" s="16">
        <v>239.1</v>
      </c>
    </row>
    <row r="181" spans="1:10" ht="13.95" customHeight="1" x14ac:dyDescent="0.3">
      <c r="A181" s="14">
        <v>46038</v>
      </c>
      <c r="B181" s="15">
        <v>46039.023611111108</v>
      </c>
      <c r="C181" s="16">
        <v>28</v>
      </c>
      <c r="D181" s="16" t="s">
        <v>70</v>
      </c>
      <c r="E181" s="16" t="s">
        <v>11</v>
      </c>
      <c r="F181" s="16" t="s">
        <v>56</v>
      </c>
      <c r="G181" s="16" t="s">
        <v>57</v>
      </c>
      <c r="H181" s="16">
        <v>24</v>
      </c>
      <c r="I181" s="16">
        <v>249</v>
      </c>
      <c r="J181" s="16">
        <v>249.1</v>
      </c>
    </row>
    <row r="182" spans="1:10" ht="13.95" customHeight="1" x14ac:dyDescent="0.3">
      <c r="A182" s="14">
        <v>46038</v>
      </c>
      <c r="B182" s="15">
        <v>46039.018750000003</v>
      </c>
      <c r="C182" s="16">
        <v>10</v>
      </c>
      <c r="D182" s="16" t="s">
        <v>70</v>
      </c>
      <c r="E182" s="16" t="s">
        <v>11</v>
      </c>
      <c r="F182" s="16" t="s">
        <v>54</v>
      </c>
      <c r="G182" s="16" t="s">
        <v>55</v>
      </c>
      <c r="H182" s="16">
        <v>2</v>
      </c>
      <c r="I182" s="16">
        <v>278.10000000000002</v>
      </c>
      <c r="J182" s="16">
        <v>278.07</v>
      </c>
    </row>
    <row r="183" spans="1:10" ht="13.95" customHeight="1" x14ac:dyDescent="0.3">
      <c r="A183" s="14">
        <v>46038</v>
      </c>
      <c r="B183" s="15">
        <v>46039.015972222223</v>
      </c>
      <c r="C183" s="16">
        <v>25</v>
      </c>
      <c r="D183" s="16" t="s">
        <v>70</v>
      </c>
      <c r="E183" s="16" t="s">
        <v>11</v>
      </c>
      <c r="F183" s="16" t="s">
        <v>58</v>
      </c>
      <c r="G183" s="16" t="s">
        <v>59</v>
      </c>
      <c r="H183" s="16">
        <v>4</v>
      </c>
      <c r="I183" s="16">
        <v>220.2</v>
      </c>
      <c r="J183" s="16">
        <v>219.28</v>
      </c>
    </row>
    <row r="184" spans="1:10" ht="13.95" customHeight="1" x14ac:dyDescent="0.3">
      <c r="A184" s="14">
        <v>46038</v>
      </c>
      <c r="B184" s="15">
        <v>46039.009722222225</v>
      </c>
      <c r="C184" s="16">
        <v>24</v>
      </c>
      <c r="D184" s="16" t="s">
        <v>70</v>
      </c>
      <c r="E184" s="16" t="s">
        <v>11</v>
      </c>
      <c r="F184" s="16" t="s">
        <v>56</v>
      </c>
      <c r="G184" s="16" t="s">
        <v>57</v>
      </c>
      <c r="H184" s="16">
        <v>24</v>
      </c>
      <c r="I184" s="16">
        <v>249</v>
      </c>
      <c r="J184" s="16">
        <v>249.03</v>
      </c>
    </row>
    <row r="185" spans="1:10" ht="13.95" customHeight="1" x14ac:dyDescent="0.3">
      <c r="A185" s="14">
        <v>46038</v>
      </c>
      <c r="B185" s="15">
        <v>46039.009027777778</v>
      </c>
      <c r="C185" s="16">
        <v>38</v>
      </c>
      <c r="D185" s="16" t="s">
        <v>70</v>
      </c>
      <c r="E185" s="16" t="s">
        <v>11</v>
      </c>
      <c r="F185" s="16" t="s">
        <v>52</v>
      </c>
      <c r="G185" s="16" t="s">
        <v>53</v>
      </c>
      <c r="H185" s="16">
        <v>5</v>
      </c>
      <c r="I185" s="16">
        <v>277.8</v>
      </c>
      <c r="J185" s="16">
        <v>278.5</v>
      </c>
    </row>
    <row r="186" spans="1:10" ht="13.95" customHeight="1" x14ac:dyDescent="0.3">
      <c r="A186" s="14">
        <v>46038</v>
      </c>
      <c r="B186" s="15">
        <v>46039.008333333331</v>
      </c>
      <c r="C186" s="16">
        <v>38</v>
      </c>
      <c r="D186" s="16" t="s">
        <v>70</v>
      </c>
      <c r="E186" s="16" t="s">
        <v>11</v>
      </c>
      <c r="F186" s="16" t="s">
        <v>52</v>
      </c>
      <c r="G186" s="16" t="s">
        <v>53</v>
      </c>
      <c r="H186" s="16">
        <v>5</v>
      </c>
      <c r="I186" s="16">
        <v>277.8</v>
      </c>
      <c r="J186" s="16">
        <v>278.5</v>
      </c>
    </row>
    <row r="187" spans="1:10" ht="13.95" customHeight="1" x14ac:dyDescent="0.3">
      <c r="A187" s="14">
        <v>46038</v>
      </c>
      <c r="B187" s="15">
        <v>46039.007638888892</v>
      </c>
      <c r="C187" s="16">
        <v>33</v>
      </c>
      <c r="D187" s="16" t="s">
        <v>70</v>
      </c>
      <c r="E187" s="16" t="s">
        <v>11</v>
      </c>
      <c r="F187" s="16" t="s">
        <v>64</v>
      </c>
      <c r="G187" s="16" t="s">
        <v>65</v>
      </c>
      <c r="H187" s="16">
        <v>9</v>
      </c>
      <c r="I187" s="16">
        <v>249.9</v>
      </c>
      <c r="J187" s="16">
        <v>250.6</v>
      </c>
    </row>
    <row r="188" spans="1:10" ht="13.95" customHeight="1" x14ac:dyDescent="0.3">
      <c r="A188" s="14">
        <v>46038</v>
      </c>
      <c r="B188" s="15">
        <v>46039.007638888892</v>
      </c>
      <c r="C188" s="16">
        <v>35</v>
      </c>
      <c r="D188" s="16" t="s">
        <v>70</v>
      </c>
      <c r="E188" s="16" t="s">
        <v>11</v>
      </c>
      <c r="F188" s="16" t="s">
        <v>73</v>
      </c>
      <c r="G188" s="16" t="s">
        <v>63</v>
      </c>
      <c r="H188" s="16">
        <v>14</v>
      </c>
      <c r="I188" s="16">
        <v>284.39999999999998</v>
      </c>
      <c r="J188" s="16">
        <v>280.43</v>
      </c>
    </row>
    <row r="189" spans="1:10" ht="13.95" customHeight="1" x14ac:dyDescent="0.3">
      <c r="A189" s="14">
        <v>46038</v>
      </c>
      <c r="B189" s="15">
        <v>46039.00277777778</v>
      </c>
      <c r="C189" s="16">
        <v>9</v>
      </c>
      <c r="D189" s="16" t="s">
        <v>70</v>
      </c>
      <c r="E189" s="16" t="s">
        <v>11</v>
      </c>
      <c r="F189" s="16" t="s">
        <v>50</v>
      </c>
      <c r="G189" s="16" t="s">
        <v>51</v>
      </c>
      <c r="H189" s="16">
        <v>15</v>
      </c>
      <c r="I189" s="16">
        <v>166.2</v>
      </c>
      <c r="J189" s="16">
        <v>166.28</v>
      </c>
    </row>
    <row r="190" spans="1:10" ht="13.95" customHeight="1" x14ac:dyDescent="0.3">
      <c r="A190" s="14">
        <v>46038</v>
      </c>
      <c r="B190" s="15">
        <v>46039.00277777778</v>
      </c>
      <c r="C190" s="16">
        <v>37</v>
      </c>
      <c r="D190" s="16" t="s">
        <v>70</v>
      </c>
      <c r="E190" s="16" t="s">
        <v>11</v>
      </c>
      <c r="F190" s="16" t="s">
        <v>52</v>
      </c>
      <c r="G190" s="16" t="s">
        <v>53</v>
      </c>
      <c r="H190" s="16">
        <v>5</v>
      </c>
      <c r="I190" s="16">
        <v>277.8</v>
      </c>
      <c r="J190" s="16">
        <v>282.64999999999998</v>
      </c>
    </row>
    <row r="191" spans="1:10" ht="13.95" customHeight="1" x14ac:dyDescent="0.3">
      <c r="A191" s="14">
        <v>46038</v>
      </c>
      <c r="B191" s="15">
        <v>46039.002083333333</v>
      </c>
      <c r="C191" s="16">
        <v>26</v>
      </c>
      <c r="D191" s="16" t="s">
        <v>70</v>
      </c>
      <c r="E191" s="16" t="s">
        <v>11</v>
      </c>
      <c r="F191" s="16" t="s">
        <v>50</v>
      </c>
      <c r="G191" s="16" t="s">
        <v>51</v>
      </c>
      <c r="H191" s="16">
        <v>15</v>
      </c>
      <c r="I191" s="16">
        <v>166.2</v>
      </c>
      <c r="J191" s="16">
        <v>167.49</v>
      </c>
    </row>
    <row r="192" spans="1:10" ht="13.95" customHeight="1" x14ac:dyDescent="0.3">
      <c r="A192" s="14">
        <v>46038</v>
      </c>
      <c r="B192" s="15">
        <v>46038.993055555555</v>
      </c>
      <c r="C192" s="16">
        <v>35</v>
      </c>
      <c r="D192" s="16" t="s">
        <v>70</v>
      </c>
      <c r="E192" s="16" t="s">
        <v>11</v>
      </c>
      <c r="F192" s="16" t="s">
        <v>73</v>
      </c>
      <c r="G192" s="16" t="s">
        <v>63</v>
      </c>
      <c r="H192" s="16">
        <v>14</v>
      </c>
      <c r="I192" s="16">
        <v>284.39999999999998</v>
      </c>
      <c r="J192" s="16">
        <v>280.92</v>
      </c>
    </row>
    <row r="193" spans="1:10" ht="13.95" customHeight="1" x14ac:dyDescent="0.3">
      <c r="A193" s="14">
        <v>46038</v>
      </c>
      <c r="B193" s="15">
        <v>46038.986805555556</v>
      </c>
      <c r="C193" s="16">
        <v>20</v>
      </c>
      <c r="D193" s="16" t="s">
        <v>70</v>
      </c>
      <c r="E193" s="16" t="s">
        <v>11</v>
      </c>
      <c r="F193" s="16" t="s">
        <v>69</v>
      </c>
      <c r="G193" s="16" t="s">
        <v>51</v>
      </c>
      <c r="H193" s="16">
        <v>15</v>
      </c>
      <c r="I193" s="16">
        <v>173.4</v>
      </c>
      <c r="J193" s="16">
        <v>173.6</v>
      </c>
    </row>
    <row r="194" spans="1:10" ht="13.95" customHeight="1" x14ac:dyDescent="0.3">
      <c r="A194" s="14">
        <v>46038</v>
      </c>
      <c r="B194" s="15">
        <v>46038.98541666667</v>
      </c>
      <c r="C194" s="16">
        <v>38</v>
      </c>
      <c r="D194" s="16" t="s">
        <v>70</v>
      </c>
      <c r="E194" s="16" t="s">
        <v>11</v>
      </c>
      <c r="F194" s="16" t="s">
        <v>52</v>
      </c>
      <c r="G194" s="16" t="s">
        <v>53</v>
      </c>
      <c r="H194" s="16">
        <v>5</v>
      </c>
      <c r="I194" s="16">
        <v>277.8</v>
      </c>
      <c r="J194" s="16">
        <v>277.3</v>
      </c>
    </row>
    <row r="195" spans="1:10" ht="13.95" customHeight="1" x14ac:dyDescent="0.3">
      <c r="A195" s="14">
        <v>46038</v>
      </c>
      <c r="B195" s="15">
        <v>46038.98333333333</v>
      </c>
      <c r="C195" s="16">
        <v>37</v>
      </c>
      <c r="D195" s="16" t="s">
        <v>70</v>
      </c>
      <c r="E195" s="16" t="s">
        <v>11</v>
      </c>
      <c r="F195" s="16" t="s">
        <v>52</v>
      </c>
      <c r="G195" s="16" t="s">
        <v>53</v>
      </c>
      <c r="H195" s="16">
        <v>5</v>
      </c>
      <c r="I195" s="16">
        <v>277.8</v>
      </c>
      <c r="J195" s="16">
        <v>282.89</v>
      </c>
    </row>
    <row r="196" spans="1:10" ht="13.95" customHeight="1" x14ac:dyDescent="0.3">
      <c r="A196" s="14">
        <v>46038</v>
      </c>
      <c r="B196" s="15">
        <v>46038.98333333333</v>
      </c>
      <c r="C196" s="16">
        <v>27</v>
      </c>
      <c r="D196" s="16" t="s">
        <v>70</v>
      </c>
      <c r="E196" s="16" t="s">
        <v>11</v>
      </c>
      <c r="F196" s="16" t="s">
        <v>60</v>
      </c>
      <c r="G196" s="16" t="s">
        <v>61</v>
      </c>
      <c r="H196" s="16">
        <v>2</v>
      </c>
      <c r="I196" s="16">
        <v>239.4</v>
      </c>
      <c r="J196" s="16">
        <v>239.64</v>
      </c>
    </row>
    <row r="197" spans="1:10" ht="13.95" customHeight="1" x14ac:dyDescent="0.3">
      <c r="A197" s="14">
        <v>46038</v>
      </c>
      <c r="B197" s="15">
        <v>46038.98333333333</v>
      </c>
      <c r="C197" s="16">
        <v>27</v>
      </c>
      <c r="D197" s="16" t="s">
        <v>70</v>
      </c>
      <c r="E197" s="16" t="s">
        <v>11</v>
      </c>
      <c r="F197" s="16" t="s">
        <v>60</v>
      </c>
      <c r="G197" s="16" t="s">
        <v>61</v>
      </c>
      <c r="H197" s="16">
        <v>2</v>
      </c>
      <c r="I197" s="16">
        <v>239.4</v>
      </c>
      <c r="J197" s="16">
        <v>239.64</v>
      </c>
    </row>
    <row r="198" spans="1:10" ht="13.95" customHeight="1" x14ac:dyDescent="0.3">
      <c r="A198" s="14">
        <v>46038</v>
      </c>
      <c r="B198" s="15">
        <v>46038.982638888891</v>
      </c>
      <c r="C198" s="16">
        <v>26</v>
      </c>
      <c r="D198" s="16" t="s">
        <v>70</v>
      </c>
      <c r="E198" s="16" t="s">
        <v>11</v>
      </c>
      <c r="F198" s="16" t="s">
        <v>50</v>
      </c>
      <c r="G198" s="16" t="s">
        <v>51</v>
      </c>
      <c r="H198" s="16">
        <v>15</v>
      </c>
      <c r="I198" s="16">
        <v>166.2</v>
      </c>
      <c r="J198" s="16">
        <v>166.23</v>
      </c>
    </row>
    <row r="199" spans="1:10" ht="13.95" customHeight="1" x14ac:dyDescent="0.3">
      <c r="A199" s="14">
        <v>46038</v>
      </c>
      <c r="B199" s="15">
        <v>46038.972916666666</v>
      </c>
      <c r="C199" s="16">
        <v>28</v>
      </c>
      <c r="D199" s="16" t="s">
        <v>70</v>
      </c>
      <c r="E199" s="16" t="s">
        <v>11</v>
      </c>
      <c r="F199" s="16" t="s">
        <v>56</v>
      </c>
      <c r="G199" s="16" t="s">
        <v>57</v>
      </c>
      <c r="H199" s="16">
        <v>24</v>
      </c>
      <c r="I199" s="16">
        <v>249</v>
      </c>
      <c r="J199" s="16">
        <v>249.45</v>
      </c>
    </row>
    <row r="200" spans="1:10" ht="13.95" customHeight="1" x14ac:dyDescent="0.3">
      <c r="A200" s="14">
        <v>46038</v>
      </c>
      <c r="B200" s="15">
        <v>46038.97152777778</v>
      </c>
      <c r="C200" s="16">
        <v>24</v>
      </c>
      <c r="D200" s="16" t="s">
        <v>70</v>
      </c>
      <c r="E200" s="16" t="s">
        <v>11</v>
      </c>
      <c r="F200" s="16" t="s">
        <v>56</v>
      </c>
      <c r="G200" s="16" t="s">
        <v>57</v>
      </c>
      <c r="H200" s="16">
        <v>24</v>
      </c>
      <c r="I200" s="16">
        <v>249</v>
      </c>
      <c r="J200" s="16">
        <v>249.97</v>
      </c>
    </row>
    <row r="201" spans="1:10" ht="13.95" customHeight="1" x14ac:dyDescent="0.3">
      <c r="A201" s="14">
        <v>46038</v>
      </c>
      <c r="B201" s="15">
        <v>46038.968055555553</v>
      </c>
      <c r="C201" s="16">
        <v>33</v>
      </c>
      <c r="D201" s="16" t="s">
        <v>70</v>
      </c>
      <c r="E201" s="16" t="s">
        <v>11</v>
      </c>
      <c r="F201" s="16" t="s">
        <v>64</v>
      </c>
      <c r="G201" s="16" t="s">
        <v>65</v>
      </c>
      <c r="H201" s="16">
        <v>9</v>
      </c>
      <c r="I201" s="16">
        <v>249.9</v>
      </c>
      <c r="J201" s="16">
        <v>250.9</v>
      </c>
    </row>
    <row r="202" spans="1:10" ht="13.95" customHeight="1" x14ac:dyDescent="0.3">
      <c r="A202" s="14">
        <v>46038</v>
      </c>
      <c r="B202" s="15">
        <v>46038.967361111114</v>
      </c>
      <c r="C202" s="16">
        <v>10</v>
      </c>
      <c r="D202" s="16" t="s">
        <v>70</v>
      </c>
      <c r="E202" s="16" t="s">
        <v>11</v>
      </c>
      <c r="F202" s="16" t="s">
        <v>54</v>
      </c>
      <c r="G202" s="16" t="s">
        <v>55</v>
      </c>
      <c r="H202" s="16">
        <v>2</v>
      </c>
      <c r="I202" s="16">
        <v>278.10000000000002</v>
      </c>
      <c r="J202" s="16">
        <v>278.76</v>
      </c>
    </row>
    <row r="203" spans="1:10" ht="13.95" customHeight="1" x14ac:dyDescent="0.3">
      <c r="A203" s="14">
        <v>46038</v>
      </c>
      <c r="B203" s="15">
        <v>46038.967361111114</v>
      </c>
      <c r="C203" s="16">
        <v>16</v>
      </c>
      <c r="D203" s="16" t="s">
        <v>70</v>
      </c>
      <c r="E203" s="16" t="s">
        <v>11</v>
      </c>
      <c r="F203" s="16" t="s">
        <v>74</v>
      </c>
      <c r="G203" s="16" t="s">
        <v>75</v>
      </c>
      <c r="H203" s="16">
        <v>2</v>
      </c>
      <c r="I203" s="16">
        <v>269.76</v>
      </c>
      <c r="J203" s="16">
        <v>166.27</v>
      </c>
    </row>
    <row r="204" spans="1:10" ht="13.95" customHeight="1" x14ac:dyDescent="0.3">
      <c r="A204" s="14">
        <v>46038</v>
      </c>
      <c r="B204" s="15">
        <v>46038.966666666667</v>
      </c>
      <c r="C204" s="16">
        <v>27</v>
      </c>
      <c r="D204" s="16" t="s">
        <v>70</v>
      </c>
      <c r="E204" s="16" t="s">
        <v>11</v>
      </c>
      <c r="F204" s="16" t="s">
        <v>60</v>
      </c>
      <c r="G204" s="16" t="s">
        <v>61</v>
      </c>
      <c r="H204" s="16">
        <v>2</v>
      </c>
      <c r="I204" s="16">
        <v>239.4</v>
      </c>
      <c r="J204" s="16">
        <v>238.98</v>
      </c>
    </row>
    <row r="205" spans="1:10" ht="13.95" customHeight="1" x14ac:dyDescent="0.3">
      <c r="A205" s="14">
        <v>46038</v>
      </c>
      <c r="B205" s="15">
        <v>46038.964583333334</v>
      </c>
      <c r="C205" s="16">
        <v>35</v>
      </c>
      <c r="D205" s="16" t="s">
        <v>70</v>
      </c>
      <c r="E205" s="16" t="s">
        <v>11</v>
      </c>
      <c r="F205" s="16" t="s">
        <v>73</v>
      </c>
      <c r="G205" s="16" t="s">
        <v>63</v>
      </c>
      <c r="H205" s="16">
        <v>14</v>
      </c>
      <c r="I205" s="16">
        <v>284.39999999999998</v>
      </c>
      <c r="J205" s="16">
        <v>283.95</v>
      </c>
    </row>
    <row r="206" spans="1:10" ht="13.95" customHeight="1" x14ac:dyDescent="0.3">
      <c r="A206" s="14">
        <v>46038</v>
      </c>
      <c r="B206" s="15">
        <v>46038.964583333334</v>
      </c>
      <c r="C206" s="16">
        <v>35</v>
      </c>
      <c r="D206" s="16" t="s">
        <v>70</v>
      </c>
      <c r="E206" s="16" t="s">
        <v>11</v>
      </c>
      <c r="F206" s="16" t="s">
        <v>73</v>
      </c>
      <c r="G206" s="16" t="s">
        <v>63</v>
      </c>
      <c r="H206" s="16">
        <v>14</v>
      </c>
      <c r="I206" s="16">
        <v>284.39999999999998</v>
      </c>
      <c r="J206" s="16">
        <v>283.94</v>
      </c>
    </row>
    <row r="207" spans="1:10" ht="13.95" customHeight="1" x14ac:dyDescent="0.3">
      <c r="A207" s="14">
        <v>46038</v>
      </c>
      <c r="B207" s="15">
        <v>46038.963194444441</v>
      </c>
      <c r="C207" s="16">
        <v>25</v>
      </c>
      <c r="D207" s="16" t="s">
        <v>70</v>
      </c>
      <c r="E207" s="16" t="s">
        <v>11</v>
      </c>
      <c r="F207" s="16" t="s">
        <v>58</v>
      </c>
      <c r="G207" s="16" t="s">
        <v>59</v>
      </c>
      <c r="H207" s="16">
        <v>4</v>
      </c>
      <c r="I207" s="16">
        <v>220.2</v>
      </c>
      <c r="J207" s="16">
        <v>219.76</v>
      </c>
    </row>
    <row r="208" spans="1:10" ht="13.95" customHeight="1" x14ac:dyDescent="0.3">
      <c r="A208" s="14">
        <v>46038</v>
      </c>
      <c r="B208" s="15">
        <v>46038.941666666666</v>
      </c>
      <c r="C208" s="16">
        <v>36</v>
      </c>
      <c r="D208" s="16" t="s">
        <v>8</v>
      </c>
      <c r="E208" s="16" t="s">
        <v>5</v>
      </c>
      <c r="F208" s="16" t="s">
        <v>72</v>
      </c>
      <c r="G208" s="16" t="s">
        <v>51</v>
      </c>
      <c r="H208" s="16">
        <v>270</v>
      </c>
      <c r="I208" s="16">
        <v>166.8</v>
      </c>
      <c r="J208" s="16">
        <v>166.97</v>
      </c>
    </row>
    <row r="209" spans="1:10" ht="13.95" customHeight="1" x14ac:dyDescent="0.3">
      <c r="A209" s="14">
        <v>46038</v>
      </c>
      <c r="B209" s="15">
        <v>46038.935416666667</v>
      </c>
      <c r="C209" s="16">
        <v>35</v>
      </c>
      <c r="D209" s="16" t="s">
        <v>8</v>
      </c>
      <c r="E209" s="16" t="s">
        <v>5</v>
      </c>
      <c r="F209" s="16" t="s">
        <v>73</v>
      </c>
      <c r="G209" s="16" t="s">
        <v>63</v>
      </c>
      <c r="H209" s="16">
        <v>14</v>
      </c>
      <c r="I209" s="16">
        <v>284.39999999999998</v>
      </c>
      <c r="J209" s="16">
        <v>284.66000000000003</v>
      </c>
    </row>
    <row r="210" spans="1:10" ht="13.95" customHeight="1" x14ac:dyDescent="0.3">
      <c r="A210" s="14">
        <v>46038</v>
      </c>
      <c r="B210" s="15">
        <v>46038.927777777775</v>
      </c>
      <c r="C210" s="16">
        <v>38</v>
      </c>
      <c r="D210" s="16" t="s">
        <v>8</v>
      </c>
      <c r="E210" s="16" t="s">
        <v>5</v>
      </c>
      <c r="F210" s="16" t="s">
        <v>52</v>
      </c>
      <c r="G210" s="16" t="s">
        <v>53</v>
      </c>
      <c r="H210" s="16">
        <v>5</v>
      </c>
      <c r="I210" s="16">
        <v>277.8</v>
      </c>
      <c r="J210" s="16">
        <v>276.89999999999998</v>
      </c>
    </row>
    <row r="211" spans="1:10" ht="13.95" customHeight="1" x14ac:dyDescent="0.3">
      <c r="A211" s="14">
        <v>46038</v>
      </c>
      <c r="B211" s="15">
        <v>46038.927083333336</v>
      </c>
      <c r="C211" s="16">
        <v>33</v>
      </c>
      <c r="D211" s="16" t="s">
        <v>8</v>
      </c>
      <c r="E211" s="16" t="s">
        <v>5</v>
      </c>
      <c r="F211" s="16" t="s">
        <v>64</v>
      </c>
      <c r="G211" s="16" t="s">
        <v>65</v>
      </c>
      <c r="H211" s="16">
        <v>9</v>
      </c>
      <c r="I211" s="16">
        <v>249.9</v>
      </c>
      <c r="J211" s="16">
        <v>249.8</v>
      </c>
    </row>
    <row r="212" spans="1:10" ht="13.95" customHeight="1" x14ac:dyDescent="0.3">
      <c r="A212" s="14">
        <v>46038</v>
      </c>
      <c r="B212" s="15">
        <v>46038.927083333336</v>
      </c>
      <c r="C212" s="16">
        <v>24</v>
      </c>
      <c r="D212" s="16" t="s">
        <v>8</v>
      </c>
      <c r="E212" s="16" t="s">
        <v>5</v>
      </c>
      <c r="F212" s="16" t="s">
        <v>56</v>
      </c>
      <c r="G212" s="16" t="s">
        <v>57</v>
      </c>
      <c r="H212" s="16">
        <v>24</v>
      </c>
      <c r="I212" s="16">
        <v>249</v>
      </c>
      <c r="J212" s="16">
        <v>249.59</v>
      </c>
    </row>
    <row r="213" spans="1:10" ht="13.95" customHeight="1" x14ac:dyDescent="0.3">
      <c r="A213" s="14">
        <v>46038</v>
      </c>
      <c r="B213" s="15">
        <v>46038.926388888889</v>
      </c>
      <c r="C213" s="16">
        <v>25</v>
      </c>
      <c r="D213" s="16" t="s">
        <v>8</v>
      </c>
      <c r="E213" s="16" t="s">
        <v>5</v>
      </c>
      <c r="F213" s="16" t="s">
        <v>58</v>
      </c>
      <c r="G213" s="16" t="s">
        <v>59</v>
      </c>
      <c r="H213" s="16">
        <v>4</v>
      </c>
      <c r="I213" s="16">
        <v>220.2</v>
      </c>
      <c r="J213" s="16">
        <v>220.33</v>
      </c>
    </row>
    <row r="214" spans="1:10" ht="13.95" customHeight="1" x14ac:dyDescent="0.3">
      <c r="A214" s="14">
        <v>46038</v>
      </c>
      <c r="B214" s="15">
        <v>46038.924305555556</v>
      </c>
      <c r="C214" s="16">
        <v>28</v>
      </c>
      <c r="D214" s="16" t="s">
        <v>8</v>
      </c>
      <c r="E214" s="16" t="s">
        <v>5</v>
      </c>
      <c r="F214" s="16" t="s">
        <v>56</v>
      </c>
      <c r="G214" s="16" t="s">
        <v>57</v>
      </c>
      <c r="H214" s="16">
        <v>24</v>
      </c>
      <c r="I214" s="16">
        <v>249</v>
      </c>
      <c r="J214" s="16">
        <v>249.68</v>
      </c>
    </row>
    <row r="215" spans="1:10" ht="13.95" customHeight="1" x14ac:dyDescent="0.3">
      <c r="A215" s="14">
        <v>46038</v>
      </c>
      <c r="B215" s="15">
        <v>46038.923611111109</v>
      </c>
      <c r="C215" s="16">
        <v>20</v>
      </c>
      <c r="D215" s="16" t="s">
        <v>8</v>
      </c>
      <c r="E215" s="16" t="s">
        <v>5</v>
      </c>
      <c r="F215" s="16" t="s">
        <v>69</v>
      </c>
      <c r="G215" s="16" t="s">
        <v>51</v>
      </c>
      <c r="H215" s="16">
        <v>15</v>
      </c>
      <c r="I215" s="16">
        <v>173.4</v>
      </c>
      <c r="J215" s="16">
        <v>173</v>
      </c>
    </row>
    <row r="216" spans="1:10" ht="13.95" customHeight="1" x14ac:dyDescent="0.3">
      <c r="A216" s="14">
        <v>46038</v>
      </c>
      <c r="B216" s="15">
        <v>46038.921527777777</v>
      </c>
      <c r="C216" s="16">
        <v>9</v>
      </c>
      <c r="D216" s="16" t="s">
        <v>8</v>
      </c>
      <c r="E216" s="16" t="s">
        <v>5</v>
      </c>
      <c r="F216" s="16" t="s">
        <v>50</v>
      </c>
      <c r="G216" s="16" t="s">
        <v>51</v>
      </c>
      <c r="H216" s="16">
        <v>15</v>
      </c>
      <c r="I216" s="16">
        <v>166.2</v>
      </c>
      <c r="J216" s="16">
        <v>166.04</v>
      </c>
    </row>
    <row r="217" spans="1:10" ht="13.95" customHeight="1" x14ac:dyDescent="0.3">
      <c r="A217" s="14">
        <v>46038</v>
      </c>
      <c r="B217" s="15">
        <v>46038.920138888891</v>
      </c>
      <c r="C217" s="16">
        <v>10</v>
      </c>
      <c r="D217" s="16" t="s">
        <v>8</v>
      </c>
      <c r="E217" s="16" t="s">
        <v>5</v>
      </c>
      <c r="F217" s="16" t="s">
        <v>54</v>
      </c>
      <c r="G217" s="16" t="s">
        <v>55</v>
      </c>
      <c r="H217" s="16">
        <v>2</v>
      </c>
      <c r="I217" s="16">
        <v>278.10000000000002</v>
      </c>
      <c r="J217" s="16">
        <v>278.54000000000002</v>
      </c>
    </row>
    <row r="218" spans="1:10" ht="13.95" customHeight="1" x14ac:dyDescent="0.3">
      <c r="A218" s="14">
        <v>46038</v>
      </c>
      <c r="B218" s="15">
        <v>46038.918749999997</v>
      </c>
      <c r="C218" s="16">
        <v>26</v>
      </c>
      <c r="D218" s="16" t="s">
        <v>8</v>
      </c>
      <c r="E218" s="16" t="s">
        <v>5</v>
      </c>
      <c r="F218" s="16" t="s">
        <v>50</v>
      </c>
      <c r="G218" s="16" t="s">
        <v>51</v>
      </c>
      <c r="H218" s="16">
        <v>15</v>
      </c>
      <c r="I218" s="16">
        <v>166.2</v>
      </c>
      <c r="J218" s="16">
        <v>166.52</v>
      </c>
    </row>
    <row r="219" spans="1:10" ht="13.95" customHeight="1" x14ac:dyDescent="0.3">
      <c r="A219" s="14">
        <v>46038</v>
      </c>
      <c r="B219" s="15">
        <v>46038.906944444447</v>
      </c>
      <c r="C219" s="16">
        <v>19</v>
      </c>
      <c r="D219" s="16" t="s">
        <v>8</v>
      </c>
      <c r="E219" s="16" t="s">
        <v>5</v>
      </c>
      <c r="F219" s="16" t="s">
        <v>79</v>
      </c>
      <c r="G219" s="16" t="s">
        <v>80</v>
      </c>
      <c r="H219" s="16">
        <v>1</v>
      </c>
      <c r="I219" s="16">
        <v>327.3</v>
      </c>
      <c r="J219" s="16">
        <v>329.85</v>
      </c>
    </row>
    <row r="220" spans="1:10" ht="13.95" customHeight="1" x14ac:dyDescent="0.3">
      <c r="A220" s="14">
        <v>46038</v>
      </c>
      <c r="B220" s="15">
        <v>46038.902777777781</v>
      </c>
      <c r="C220" s="16">
        <v>27</v>
      </c>
      <c r="D220" s="16" t="s">
        <v>8</v>
      </c>
      <c r="E220" s="16" t="s">
        <v>5</v>
      </c>
      <c r="F220" s="16" t="s">
        <v>60</v>
      </c>
      <c r="G220" s="16" t="s">
        <v>61</v>
      </c>
      <c r="H220" s="16">
        <v>2</v>
      </c>
      <c r="I220" s="16">
        <v>239.4</v>
      </c>
      <c r="J220" s="16">
        <v>238.56</v>
      </c>
    </row>
    <row r="221" spans="1:10" ht="13.95" customHeight="1" x14ac:dyDescent="0.3">
      <c r="A221" s="14">
        <v>46038</v>
      </c>
      <c r="B221" s="15">
        <v>46038.902083333334</v>
      </c>
      <c r="C221" s="16">
        <v>20</v>
      </c>
      <c r="D221" s="16" t="s">
        <v>8</v>
      </c>
      <c r="E221" s="16" t="s">
        <v>5</v>
      </c>
      <c r="F221" s="16" t="s">
        <v>69</v>
      </c>
      <c r="G221" s="16" t="s">
        <v>51</v>
      </c>
      <c r="H221" s="16">
        <v>15</v>
      </c>
      <c r="I221" s="16">
        <v>173.4</v>
      </c>
      <c r="J221" s="16">
        <v>173</v>
      </c>
    </row>
    <row r="222" spans="1:10" ht="13.95" customHeight="1" x14ac:dyDescent="0.3">
      <c r="A222" s="14">
        <v>46038</v>
      </c>
      <c r="B222" s="15">
        <v>46038.897916666669</v>
      </c>
      <c r="C222" s="16">
        <v>37</v>
      </c>
      <c r="D222" s="16" t="s">
        <v>8</v>
      </c>
      <c r="E222" s="16" t="s">
        <v>5</v>
      </c>
      <c r="F222" s="16" t="s">
        <v>52</v>
      </c>
      <c r="G222" s="16" t="s">
        <v>53</v>
      </c>
      <c r="H222" s="16">
        <v>5</v>
      </c>
      <c r="I222" s="16">
        <v>277.8</v>
      </c>
      <c r="J222" s="16">
        <v>283.93</v>
      </c>
    </row>
    <row r="223" spans="1:10" ht="13.95" customHeight="1" x14ac:dyDescent="0.3">
      <c r="A223" s="14">
        <v>46038</v>
      </c>
      <c r="B223" s="15">
        <v>46038.897222222222</v>
      </c>
      <c r="C223" s="16">
        <v>10</v>
      </c>
      <c r="D223" s="16" t="s">
        <v>8</v>
      </c>
      <c r="E223" s="16" t="s">
        <v>5</v>
      </c>
      <c r="F223" s="16" t="s">
        <v>54</v>
      </c>
      <c r="G223" s="16" t="s">
        <v>55</v>
      </c>
      <c r="H223" s="16">
        <v>2</v>
      </c>
      <c r="I223" s="16">
        <v>278.10000000000002</v>
      </c>
      <c r="J223" s="16">
        <v>278.66000000000003</v>
      </c>
    </row>
    <row r="224" spans="1:10" ht="13.95" customHeight="1" x14ac:dyDescent="0.3">
      <c r="A224" s="14">
        <v>46038</v>
      </c>
      <c r="B224" s="15">
        <v>46038.894444444442</v>
      </c>
      <c r="C224" s="16">
        <v>25</v>
      </c>
      <c r="D224" s="16" t="s">
        <v>8</v>
      </c>
      <c r="E224" s="16" t="s">
        <v>5</v>
      </c>
      <c r="F224" s="16" t="s">
        <v>58</v>
      </c>
      <c r="G224" s="16" t="s">
        <v>59</v>
      </c>
      <c r="H224" s="16">
        <v>4</v>
      </c>
      <c r="I224" s="16">
        <v>220.2</v>
      </c>
      <c r="J224" s="16">
        <v>221.19</v>
      </c>
    </row>
    <row r="225" spans="1:10" ht="13.95" customHeight="1" x14ac:dyDescent="0.3">
      <c r="A225" s="14">
        <v>46038</v>
      </c>
      <c r="B225" s="15">
        <v>46038.894444444442</v>
      </c>
      <c r="C225" s="16">
        <v>26</v>
      </c>
      <c r="D225" s="16" t="s">
        <v>8</v>
      </c>
      <c r="E225" s="16" t="s">
        <v>5</v>
      </c>
      <c r="F225" s="16" t="s">
        <v>50</v>
      </c>
      <c r="G225" s="16" t="s">
        <v>51</v>
      </c>
      <c r="H225" s="16">
        <v>15</v>
      </c>
      <c r="I225" s="16">
        <v>166.2</v>
      </c>
      <c r="J225" s="16">
        <v>166.87</v>
      </c>
    </row>
    <row r="226" spans="1:10" ht="13.95" customHeight="1" x14ac:dyDescent="0.3">
      <c r="A226" s="14">
        <v>46038</v>
      </c>
      <c r="B226" s="15">
        <v>46038.892361111109</v>
      </c>
      <c r="C226" s="16">
        <v>24</v>
      </c>
      <c r="D226" s="16" t="s">
        <v>8</v>
      </c>
      <c r="E226" s="16" t="s">
        <v>5</v>
      </c>
      <c r="F226" s="16" t="s">
        <v>56</v>
      </c>
      <c r="G226" s="16" t="s">
        <v>57</v>
      </c>
      <c r="H226" s="16">
        <v>22</v>
      </c>
      <c r="I226" s="16">
        <v>249</v>
      </c>
      <c r="J226" s="16">
        <v>248.79</v>
      </c>
    </row>
    <row r="227" spans="1:10" ht="13.95" customHeight="1" x14ac:dyDescent="0.3">
      <c r="A227" s="14">
        <v>46038</v>
      </c>
      <c r="B227" s="15">
        <v>46038.892361111109</v>
      </c>
      <c r="C227" s="16">
        <v>24</v>
      </c>
      <c r="D227" s="16" t="s">
        <v>8</v>
      </c>
      <c r="E227" s="16" t="s">
        <v>5</v>
      </c>
      <c r="F227" s="16" t="s">
        <v>56</v>
      </c>
      <c r="G227" s="16" t="s">
        <v>57</v>
      </c>
      <c r="H227" s="16">
        <v>22</v>
      </c>
      <c r="I227" s="16">
        <v>249</v>
      </c>
      <c r="J227" s="16">
        <v>248.79</v>
      </c>
    </row>
    <row r="228" spans="1:10" ht="13.95" customHeight="1" x14ac:dyDescent="0.3">
      <c r="A228" s="14">
        <v>46038</v>
      </c>
      <c r="B228" s="15">
        <v>46038.89166666667</v>
      </c>
      <c r="C228" s="16">
        <v>20</v>
      </c>
      <c r="D228" s="16" t="s">
        <v>8</v>
      </c>
      <c r="E228" s="16" t="s">
        <v>5</v>
      </c>
      <c r="F228" s="16" t="s">
        <v>69</v>
      </c>
      <c r="G228" s="16" t="s">
        <v>51</v>
      </c>
      <c r="H228" s="16">
        <v>14</v>
      </c>
      <c r="I228" s="16">
        <v>173.4</v>
      </c>
      <c r="J228" s="16">
        <v>173.1</v>
      </c>
    </row>
    <row r="229" spans="1:10" ht="13.95" customHeight="1" x14ac:dyDescent="0.3">
      <c r="A229" s="14">
        <v>46038</v>
      </c>
      <c r="B229" s="15">
        <v>46038.884027777778</v>
      </c>
      <c r="C229" s="16">
        <v>10</v>
      </c>
      <c r="D229" s="16" t="s">
        <v>8</v>
      </c>
      <c r="E229" s="16" t="s">
        <v>5</v>
      </c>
      <c r="F229" s="16" t="s">
        <v>54</v>
      </c>
      <c r="G229" s="16" t="s">
        <v>55</v>
      </c>
      <c r="H229" s="16">
        <v>2</v>
      </c>
      <c r="I229" s="16">
        <v>278.10000000000002</v>
      </c>
      <c r="J229" s="16">
        <v>278.83999999999997</v>
      </c>
    </row>
    <row r="230" spans="1:10" ht="13.95" customHeight="1" x14ac:dyDescent="0.3">
      <c r="A230" s="14">
        <v>46038</v>
      </c>
      <c r="B230" s="15">
        <v>46038.873611111114</v>
      </c>
      <c r="C230" s="16">
        <v>33</v>
      </c>
      <c r="D230" s="16" t="s">
        <v>8</v>
      </c>
      <c r="E230" s="16" t="s">
        <v>5</v>
      </c>
      <c r="F230" s="16" t="s">
        <v>64</v>
      </c>
      <c r="G230" s="16" t="s">
        <v>65</v>
      </c>
      <c r="H230" s="16">
        <v>8</v>
      </c>
      <c r="I230" s="16">
        <v>249.9</v>
      </c>
      <c r="J230" s="16">
        <v>249.4</v>
      </c>
    </row>
    <row r="231" spans="1:10" ht="13.95" customHeight="1" x14ac:dyDescent="0.3">
      <c r="A231" s="14">
        <v>46038</v>
      </c>
      <c r="B231" s="15">
        <v>46038.867361111108</v>
      </c>
      <c r="C231" s="16">
        <v>10</v>
      </c>
      <c r="D231" s="16" t="s">
        <v>8</v>
      </c>
      <c r="E231" s="16" t="s">
        <v>5</v>
      </c>
      <c r="F231" s="16" t="s">
        <v>54</v>
      </c>
      <c r="G231" s="16" t="s">
        <v>55</v>
      </c>
      <c r="H231" s="16">
        <v>2</v>
      </c>
      <c r="I231" s="16">
        <v>278.10000000000002</v>
      </c>
      <c r="J231" s="16">
        <v>278.12</v>
      </c>
    </row>
    <row r="232" spans="1:10" ht="13.95" customHeight="1" x14ac:dyDescent="0.3">
      <c r="A232" s="14">
        <v>46038</v>
      </c>
      <c r="B232" s="15">
        <v>46038.862500000003</v>
      </c>
      <c r="C232" s="16">
        <v>27</v>
      </c>
      <c r="D232" s="16" t="s">
        <v>8</v>
      </c>
      <c r="E232" s="16" t="s">
        <v>5</v>
      </c>
      <c r="F232" s="16" t="s">
        <v>60</v>
      </c>
      <c r="G232" s="16" t="s">
        <v>61</v>
      </c>
      <c r="H232" s="16">
        <v>2</v>
      </c>
      <c r="I232" s="16">
        <v>239.4</v>
      </c>
      <c r="J232" s="16">
        <v>239.6</v>
      </c>
    </row>
    <row r="233" spans="1:10" ht="13.95" customHeight="1" x14ac:dyDescent="0.3">
      <c r="A233" s="14">
        <v>46038</v>
      </c>
      <c r="B233" s="15">
        <v>46038.854166666664</v>
      </c>
      <c r="C233" s="16">
        <v>35</v>
      </c>
      <c r="D233" s="16" t="s">
        <v>8</v>
      </c>
      <c r="E233" s="16" t="s">
        <v>5</v>
      </c>
      <c r="F233" s="16" t="s">
        <v>73</v>
      </c>
      <c r="G233" s="16" t="s">
        <v>63</v>
      </c>
      <c r="H233" s="16">
        <v>13</v>
      </c>
      <c r="I233" s="16">
        <v>284.39999999999998</v>
      </c>
      <c r="J233" s="16">
        <v>284.89999999999998</v>
      </c>
    </row>
    <row r="234" spans="1:10" ht="13.95" customHeight="1" x14ac:dyDescent="0.3">
      <c r="A234" s="14">
        <v>46038</v>
      </c>
      <c r="B234" s="15">
        <v>46038.852083333331</v>
      </c>
      <c r="C234" s="16">
        <v>24</v>
      </c>
      <c r="D234" s="16" t="s">
        <v>8</v>
      </c>
      <c r="E234" s="16" t="s">
        <v>5</v>
      </c>
      <c r="F234" s="16" t="s">
        <v>56</v>
      </c>
      <c r="G234" s="16" t="s">
        <v>57</v>
      </c>
      <c r="H234" s="16">
        <v>22</v>
      </c>
      <c r="I234" s="16">
        <v>249</v>
      </c>
      <c r="J234" s="16">
        <v>249.38</v>
      </c>
    </row>
    <row r="235" spans="1:10" ht="13.95" customHeight="1" x14ac:dyDescent="0.3">
      <c r="A235" s="14">
        <v>46038</v>
      </c>
      <c r="B235" s="15">
        <v>46038.852083333331</v>
      </c>
      <c r="C235" s="16">
        <v>28</v>
      </c>
      <c r="D235" s="16" t="s">
        <v>8</v>
      </c>
      <c r="E235" s="16" t="s">
        <v>5</v>
      </c>
      <c r="F235" s="16" t="s">
        <v>56</v>
      </c>
      <c r="G235" s="16" t="s">
        <v>57</v>
      </c>
      <c r="H235" s="16">
        <v>22</v>
      </c>
      <c r="I235" s="16">
        <v>249</v>
      </c>
      <c r="J235" s="16">
        <v>249.93</v>
      </c>
    </row>
    <row r="236" spans="1:10" ht="13.95" customHeight="1" x14ac:dyDescent="0.3">
      <c r="A236" s="14">
        <v>46038</v>
      </c>
      <c r="B236" s="15">
        <v>46038.848611111112</v>
      </c>
      <c r="C236" s="16">
        <v>37</v>
      </c>
      <c r="D236" s="16" t="s">
        <v>8</v>
      </c>
      <c r="E236" s="16" t="s">
        <v>5</v>
      </c>
      <c r="F236" s="16" t="s">
        <v>52</v>
      </c>
      <c r="G236" s="16" t="s">
        <v>53</v>
      </c>
      <c r="H236" s="16">
        <v>5</v>
      </c>
      <c r="I236" s="16">
        <v>277.8</v>
      </c>
      <c r="J236" s="16">
        <v>282.26</v>
      </c>
    </row>
    <row r="237" spans="1:10" ht="13.95" customHeight="1" x14ac:dyDescent="0.3">
      <c r="A237" s="14">
        <v>46038</v>
      </c>
      <c r="B237" s="15">
        <v>46038.847222222219</v>
      </c>
      <c r="C237" s="16">
        <v>25</v>
      </c>
      <c r="D237" s="16" t="s">
        <v>8</v>
      </c>
      <c r="E237" s="16" t="s">
        <v>5</v>
      </c>
      <c r="F237" s="16" t="s">
        <v>58</v>
      </c>
      <c r="G237" s="16" t="s">
        <v>59</v>
      </c>
      <c r="H237" s="16">
        <v>3</v>
      </c>
      <c r="I237" s="16">
        <v>220.2</v>
      </c>
      <c r="J237" s="16">
        <v>220.63</v>
      </c>
    </row>
    <row r="238" spans="1:10" ht="13.95" customHeight="1" x14ac:dyDescent="0.3">
      <c r="A238" s="14">
        <v>46038</v>
      </c>
      <c r="B238" s="15">
        <v>46038.845138888886</v>
      </c>
      <c r="C238" s="16">
        <v>9</v>
      </c>
      <c r="D238" s="16" t="s">
        <v>8</v>
      </c>
      <c r="E238" s="16" t="s">
        <v>5</v>
      </c>
      <c r="F238" s="16" t="s">
        <v>50</v>
      </c>
      <c r="G238" s="16" t="s">
        <v>51</v>
      </c>
      <c r="H238" s="16">
        <v>14</v>
      </c>
      <c r="I238" s="16">
        <v>166.2</v>
      </c>
      <c r="J238" s="16">
        <v>166.64</v>
      </c>
    </row>
    <row r="239" spans="1:10" ht="13.95" customHeight="1" x14ac:dyDescent="0.3">
      <c r="A239" s="14">
        <v>46038</v>
      </c>
      <c r="B239" s="15">
        <v>46038.843055555553</v>
      </c>
      <c r="C239" s="16">
        <v>33</v>
      </c>
      <c r="D239" s="16" t="s">
        <v>8</v>
      </c>
      <c r="E239" s="16" t="s">
        <v>5</v>
      </c>
      <c r="F239" s="16" t="s">
        <v>64</v>
      </c>
      <c r="G239" s="16" t="s">
        <v>65</v>
      </c>
      <c r="H239" s="16">
        <v>8</v>
      </c>
      <c r="I239" s="16">
        <v>249.9</v>
      </c>
      <c r="J239" s="16">
        <v>250.3</v>
      </c>
    </row>
    <row r="240" spans="1:10" ht="13.95" customHeight="1" x14ac:dyDescent="0.3">
      <c r="A240" s="14">
        <v>46038</v>
      </c>
      <c r="B240" s="15">
        <v>46038.84097222222</v>
      </c>
      <c r="C240" s="16">
        <v>37</v>
      </c>
      <c r="D240" s="16" t="s">
        <v>8</v>
      </c>
      <c r="E240" s="16" t="s">
        <v>5</v>
      </c>
      <c r="F240" s="16" t="s">
        <v>52</v>
      </c>
      <c r="G240" s="16" t="s">
        <v>53</v>
      </c>
      <c r="H240" s="16">
        <v>5</v>
      </c>
      <c r="I240" s="16">
        <v>277.8</v>
      </c>
      <c r="J240" s="16">
        <v>282.29000000000002</v>
      </c>
    </row>
    <row r="241" spans="1:10" ht="13.95" customHeight="1" x14ac:dyDescent="0.3">
      <c r="A241" s="14">
        <v>46038</v>
      </c>
      <c r="B241" s="15">
        <v>46038.84097222222</v>
      </c>
      <c r="C241" s="16">
        <v>20</v>
      </c>
      <c r="D241" s="16" t="s">
        <v>8</v>
      </c>
      <c r="E241" s="16" t="s">
        <v>5</v>
      </c>
      <c r="F241" s="16" t="s">
        <v>69</v>
      </c>
      <c r="G241" s="16" t="s">
        <v>51</v>
      </c>
      <c r="H241" s="16">
        <v>14</v>
      </c>
      <c r="I241" s="16">
        <v>173.4</v>
      </c>
      <c r="J241" s="16">
        <v>173.5</v>
      </c>
    </row>
    <row r="242" spans="1:10" ht="13.95" customHeight="1" x14ac:dyDescent="0.3">
      <c r="A242" s="14">
        <v>46038</v>
      </c>
      <c r="B242" s="15">
        <v>46038.840277777781</v>
      </c>
      <c r="C242" s="16">
        <v>26</v>
      </c>
      <c r="D242" s="16" t="s">
        <v>8</v>
      </c>
      <c r="E242" s="16" t="s">
        <v>5</v>
      </c>
      <c r="F242" s="16" t="s">
        <v>50</v>
      </c>
      <c r="G242" s="16" t="s">
        <v>51</v>
      </c>
      <c r="H242" s="16">
        <v>14</v>
      </c>
      <c r="I242" s="16">
        <v>166.2</v>
      </c>
      <c r="J242" s="16">
        <v>166.9</v>
      </c>
    </row>
    <row r="243" spans="1:10" ht="13.95" customHeight="1" x14ac:dyDescent="0.3">
      <c r="A243" s="14">
        <v>46038</v>
      </c>
      <c r="B243" s="15">
        <v>46038.838194444441</v>
      </c>
      <c r="C243" s="16">
        <v>26</v>
      </c>
      <c r="D243" s="16" t="s">
        <v>8</v>
      </c>
      <c r="E243" s="16" t="s">
        <v>5</v>
      </c>
      <c r="F243" s="16" t="s">
        <v>50</v>
      </c>
      <c r="G243" s="16" t="s">
        <v>51</v>
      </c>
      <c r="H243" s="16">
        <v>14</v>
      </c>
      <c r="I243" s="16">
        <v>166.2</v>
      </c>
      <c r="J243" s="16">
        <v>166.91</v>
      </c>
    </row>
    <row r="244" spans="1:10" ht="13.95" customHeight="1" x14ac:dyDescent="0.3">
      <c r="A244" s="14">
        <v>46038</v>
      </c>
      <c r="B244" s="15">
        <v>46038.835416666669</v>
      </c>
      <c r="C244" s="16">
        <v>27</v>
      </c>
      <c r="D244" s="16" t="s">
        <v>8</v>
      </c>
      <c r="E244" s="16" t="s">
        <v>5</v>
      </c>
      <c r="F244" s="16" t="s">
        <v>60</v>
      </c>
      <c r="G244" s="16" t="s">
        <v>61</v>
      </c>
      <c r="H244" s="16">
        <v>2</v>
      </c>
      <c r="I244" s="16">
        <v>239.4</v>
      </c>
      <c r="J244" s="16">
        <v>238.94</v>
      </c>
    </row>
    <row r="245" spans="1:10" ht="13.95" customHeight="1" x14ac:dyDescent="0.3">
      <c r="A245" s="14">
        <v>46038</v>
      </c>
      <c r="B245" s="15">
        <v>46038.833333333336</v>
      </c>
      <c r="C245" s="16">
        <v>38</v>
      </c>
      <c r="D245" s="16" t="s">
        <v>8</v>
      </c>
      <c r="E245" s="16" t="s">
        <v>5</v>
      </c>
      <c r="F245" s="16" t="s">
        <v>52</v>
      </c>
      <c r="G245" s="16" t="s">
        <v>53</v>
      </c>
      <c r="H245" s="16">
        <v>5</v>
      </c>
      <c r="I245" s="16">
        <v>277.8</v>
      </c>
      <c r="J245" s="16">
        <v>277.60000000000002</v>
      </c>
    </row>
    <row r="246" spans="1:10" ht="13.95" customHeight="1" x14ac:dyDescent="0.3">
      <c r="A246" s="14">
        <v>46038</v>
      </c>
      <c r="B246" s="15">
        <v>46038.831250000003</v>
      </c>
      <c r="C246" s="16">
        <v>33</v>
      </c>
      <c r="D246" s="16" t="s">
        <v>8</v>
      </c>
      <c r="E246" s="16" t="s">
        <v>5</v>
      </c>
      <c r="F246" s="16" t="s">
        <v>64</v>
      </c>
      <c r="G246" s="16" t="s">
        <v>65</v>
      </c>
      <c r="H246" s="16">
        <v>8</v>
      </c>
      <c r="I246" s="16">
        <v>249.9</v>
      </c>
      <c r="J246" s="16">
        <v>249.5</v>
      </c>
    </row>
    <row r="247" spans="1:10" ht="13.95" customHeight="1" x14ac:dyDescent="0.3">
      <c r="A247" s="14">
        <v>46038</v>
      </c>
      <c r="B247" s="15">
        <v>46038.828472222223</v>
      </c>
      <c r="C247" s="16">
        <v>36</v>
      </c>
      <c r="D247" s="16" t="s">
        <v>8</v>
      </c>
      <c r="E247" s="16" t="s">
        <v>5</v>
      </c>
      <c r="F247" s="16" t="s">
        <v>72</v>
      </c>
      <c r="G247" s="16" t="s">
        <v>51</v>
      </c>
      <c r="H247" s="16">
        <v>270</v>
      </c>
      <c r="I247" s="16">
        <v>166.8</v>
      </c>
      <c r="J247" s="16">
        <v>167.47</v>
      </c>
    </row>
    <row r="248" spans="1:10" ht="13.95" customHeight="1" x14ac:dyDescent="0.3">
      <c r="A248" s="14">
        <v>46038</v>
      </c>
      <c r="B248" s="15">
        <v>46038.821527777778</v>
      </c>
      <c r="C248" s="16">
        <v>38</v>
      </c>
      <c r="D248" s="16" t="s">
        <v>8</v>
      </c>
      <c r="E248" s="16" t="s">
        <v>5</v>
      </c>
      <c r="F248" s="16" t="s">
        <v>52</v>
      </c>
      <c r="G248" s="16" t="s">
        <v>53</v>
      </c>
      <c r="H248" s="16">
        <v>5</v>
      </c>
      <c r="I248" s="16">
        <v>277.8</v>
      </c>
      <c r="J248" s="16">
        <v>278</v>
      </c>
    </row>
    <row r="249" spans="1:10" ht="13.95" customHeight="1" x14ac:dyDescent="0.3">
      <c r="A249" s="14">
        <v>46038</v>
      </c>
      <c r="B249" s="15">
        <v>46038.814583333333</v>
      </c>
      <c r="C249" s="16">
        <v>28</v>
      </c>
      <c r="D249" s="16" t="s">
        <v>8</v>
      </c>
      <c r="E249" s="16" t="s">
        <v>5</v>
      </c>
      <c r="F249" s="16" t="s">
        <v>56</v>
      </c>
      <c r="G249" s="16" t="s">
        <v>57</v>
      </c>
      <c r="H249" s="16">
        <v>22</v>
      </c>
      <c r="I249" s="16">
        <v>249</v>
      </c>
      <c r="J249" s="16">
        <v>250.04</v>
      </c>
    </row>
    <row r="250" spans="1:10" ht="13.95" customHeight="1" x14ac:dyDescent="0.3">
      <c r="A250" s="14">
        <v>46038</v>
      </c>
      <c r="B250" s="15">
        <v>46038.811111111114</v>
      </c>
      <c r="C250" s="16">
        <v>26</v>
      </c>
      <c r="D250" s="16" t="s">
        <v>8</v>
      </c>
      <c r="E250" s="16" t="s">
        <v>5</v>
      </c>
      <c r="F250" s="16" t="s">
        <v>50</v>
      </c>
      <c r="G250" s="16" t="s">
        <v>51</v>
      </c>
      <c r="H250" s="16">
        <v>14</v>
      </c>
      <c r="I250" s="16">
        <v>166.2</v>
      </c>
      <c r="J250" s="16">
        <v>167.76</v>
      </c>
    </row>
    <row r="251" spans="1:10" ht="13.95" customHeight="1" x14ac:dyDescent="0.3">
      <c r="A251" s="14">
        <v>46038</v>
      </c>
      <c r="B251" s="15">
        <v>46038.802083333336</v>
      </c>
      <c r="C251" s="16">
        <v>25</v>
      </c>
      <c r="D251" s="16" t="s">
        <v>8</v>
      </c>
      <c r="E251" s="16" t="s">
        <v>5</v>
      </c>
      <c r="F251" s="16" t="s">
        <v>58</v>
      </c>
      <c r="G251" s="16" t="s">
        <v>59</v>
      </c>
      <c r="H251" s="16">
        <v>3</v>
      </c>
      <c r="I251" s="16">
        <v>220.2</v>
      </c>
      <c r="J251" s="16">
        <v>220.75</v>
      </c>
    </row>
    <row r="252" spans="1:10" ht="13.95" customHeight="1" x14ac:dyDescent="0.3">
      <c r="A252" s="14">
        <v>46038</v>
      </c>
      <c r="B252" s="15">
        <v>46038.797222222223</v>
      </c>
      <c r="C252" s="16">
        <v>24</v>
      </c>
      <c r="D252" s="16" t="s">
        <v>8</v>
      </c>
      <c r="E252" s="16" t="s">
        <v>5</v>
      </c>
      <c r="F252" s="16" t="s">
        <v>56</v>
      </c>
      <c r="G252" s="16" t="s">
        <v>57</v>
      </c>
      <c r="H252" s="16">
        <v>22</v>
      </c>
      <c r="I252" s="16">
        <v>249</v>
      </c>
      <c r="J252" s="16">
        <v>248.63</v>
      </c>
    </row>
    <row r="253" spans="1:10" ht="13.95" customHeight="1" x14ac:dyDescent="0.3">
      <c r="A253" s="14">
        <v>46038</v>
      </c>
      <c r="B253" s="15">
        <v>46038.796527777777</v>
      </c>
      <c r="C253" s="16">
        <v>33</v>
      </c>
      <c r="D253" s="16" t="s">
        <v>8</v>
      </c>
      <c r="E253" s="16" t="s">
        <v>5</v>
      </c>
      <c r="F253" s="16" t="s">
        <v>64</v>
      </c>
      <c r="G253" s="16" t="s">
        <v>65</v>
      </c>
      <c r="H253" s="16">
        <v>8</v>
      </c>
      <c r="I253" s="16">
        <v>249.9</v>
      </c>
      <c r="J253" s="16">
        <v>249.6</v>
      </c>
    </row>
    <row r="254" spans="1:10" ht="13.95" customHeight="1" x14ac:dyDescent="0.3">
      <c r="A254" s="14">
        <v>46038</v>
      </c>
      <c r="B254" s="15">
        <v>46038.796527777777</v>
      </c>
      <c r="C254" s="16">
        <v>10</v>
      </c>
      <c r="D254" s="16" t="s">
        <v>8</v>
      </c>
      <c r="E254" s="16" t="s">
        <v>5</v>
      </c>
      <c r="F254" s="16" t="s">
        <v>54</v>
      </c>
      <c r="G254" s="16" t="s">
        <v>55</v>
      </c>
      <c r="H254" s="16">
        <v>2</v>
      </c>
      <c r="I254" s="16">
        <v>278.10000000000002</v>
      </c>
      <c r="J254" s="16">
        <v>278.60000000000002</v>
      </c>
    </row>
    <row r="255" spans="1:10" ht="13.95" customHeight="1" x14ac:dyDescent="0.3">
      <c r="A255" s="14">
        <v>46038</v>
      </c>
      <c r="B255" s="15">
        <v>46038.794444444444</v>
      </c>
      <c r="C255" s="16">
        <v>20</v>
      </c>
      <c r="D255" s="16" t="s">
        <v>8</v>
      </c>
      <c r="E255" s="16" t="s">
        <v>5</v>
      </c>
      <c r="F255" s="16" t="s">
        <v>69</v>
      </c>
      <c r="G255" s="16" t="s">
        <v>51</v>
      </c>
      <c r="H255" s="16">
        <v>14</v>
      </c>
      <c r="I255" s="16">
        <v>173.4</v>
      </c>
      <c r="J255" s="16">
        <v>173.2</v>
      </c>
    </row>
    <row r="256" spans="1:10" ht="13.95" customHeight="1" x14ac:dyDescent="0.3">
      <c r="A256" s="14">
        <v>46038</v>
      </c>
      <c r="B256" s="15">
        <v>46038.789583333331</v>
      </c>
      <c r="C256" s="16">
        <v>35</v>
      </c>
      <c r="D256" s="16" t="s">
        <v>8</v>
      </c>
      <c r="E256" s="16" t="s">
        <v>5</v>
      </c>
      <c r="F256" s="16" t="s">
        <v>73</v>
      </c>
      <c r="G256" s="16" t="s">
        <v>63</v>
      </c>
      <c r="H256" s="16">
        <v>13</v>
      </c>
      <c r="I256" s="16">
        <v>284.39999999999998</v>
      </c>
      <c r="J256" s="16">
        <v>284.69</v>
      </c>
    </row>
    <row r="257" spans="1:10" ht="13.95" customHeight="1" x14ac:dyDescent="0.3">
      <c r="A257" s="14">
        <v>46038</v>
      </c>
      <c r="B257" s="15">
        <v>46038.788888888892</v>
      </c>
      <c r="C257" s="16">
        <v>9</v>
      </c>
      <c r="D257" s="16" t="s">
        <v>8</v>
      </c>
      <c r="E257" s="16" t="s">
        <v>5</v>
      </c>
      <c r="F257" s="16" t="s">
        <v>50</v>
      </c>
      <c r="G257" s="16" t="s">
        <v>51</v>
      </c>
      <c r="H257" s="16">
        <v>14</v>
      </c>
      <c r="I257" s="16">
        <v>166.2</v>
      </c>
      <c r="J257" s="16">
        <v>165.94</v>
      </c>
    </row>
    <row r="258" spans="1:10" ht="13.95" customHeight="1" x14ac:dyDescent="0.3">
      <c r="A258" s="14">
        <v>46038</v>
      </c>
      <c r="B258" s="15">
        <v>46038.785416666666</v>
      </c>
      <c r="C258" s="16">
        <v>36</v>
      </c>
      <c r="D258" s="16" t="s">
        <v>8</v>
      </c>
      <c r="E258" s="16" t="s">
        <v>5</v>
      </c>
      <c r="F258" s="16" t="s">
        <v>72</v>
      </c>
      <c r="G258" s="16" t="s">
        <v>51</v>
      </c>
      <c r="H258" s="16">
        <v>270</v>
      </c>
      <c r="I258" s="16">
        <v>166.8</v>
      </c>
      <c r="J258" s="16">
        <v>167.69</v>
      </c>
    </row>
    <row r="259" spans="1:10" ht="13.95" customHeight="1" x14ac:dyDescent="0.3">
      <c r="A259" s="14">
        <v>46038</v>
      </c>
      <c r="B259" s="15">
        <v>46038.767361111109</v>
      </c>
      <c r="C259" s="16">
        <v>25</v>
      </c>
      <c r="D259" s="16" t="s">
        <v>8</v>
      </c>
      <c r="E259" s="16" t="s">
        <v>5</v>
      </c>
      <c r="F259" s="16" t="s">
        <v>58</v>
      </c>
      <c r="G259" s="16" t="s">
        <v>59</v>
      </c>
      <c r="H259" s="16">
        <v>3</v>
      </c>
      <c r="I259" s="16">
        <v>220.2</v>
      </c>
      <c r="J259" s="16">
        <v>220.85</v>
      </c>
    </row>
    <row r="260" spans="1:10" ht="13.95" customHeight="1" x14ac:dyDescent="0.3">
      <c r="A260" s="14">
        <v>46038</v>
      </c>
      <c r="B260" s="15">
        <v>46038.765972222223</v>
      </c>
      <c r="C260" s="16">
        <v>27</v>
      </c>
      <c r="D260" s="16" t="s">
        <v>8</v>
      </c>
      <c r="E260" s="16" t="s">
        <v>5</v>
      </c>
      <c r="F260" s="16" t="s">
        <v>60</v>
      </c>
      <c r="G260" s="16" t="s">
        <v>61</v>
      </c>
      <c r="H260" s="16">
        <v>2</v>
      </c>
      <c r="I260" s="16">
        <v>239.4</v>
      </c>
      <c r="J260" s="16">
        <v>239.71</v>
      </c>
    </row>
    <row r="261" spans="1:10" ht="13.95" customHeight="1" x14ac:dyDescent="0.3">
      <c r="A261" s="14">
        <v>46038</v>
      </c>
      <c r="B261" s="15">
        <v>46038.763194444444</v>
      </c>
      <c r="C261" s="16">
        <v>10</v>
      </c>
      <c r="D261" s="16" t="s">
        <v>8</v>
      </c>
      <c r="E261" s="16" t="s">
        <v>5</v>
      </c>
      <c r="F261" s="16" t="s">
        <v>54</v>
      </c>
      <c r="G261" s="16" t="s">
        <v>55</v>
      </c>
      <c r="H261" s="16">
        <v>2</v>
      </c>
      <c r="I261" s="16">
        <v>278.10000000000002</v>
      </c>
      <c r="J261" s="16">
        <v>278.83</v>
      </c>
    </row>
    <row r="262" spans="1:10" ht="13.95" customHeight="1" x14ac:dyDescent="0.3">
      <c r="A262" s="14">
        <v>46038</v>
      </c>
      <c r="B262" s="15">
        <v>46038.762499999997</v>
      </c>
      <c r="C262" s="16">
        <v>24</v>
      </c>
      <c r="D262" s="16" t="s">
        <v>8</v>
      </c>
      <c r="E262" s="16" t="s">
        <v>5</v>
      </c>
      <c r="F262" s="16" t="s">
        <v>56</v>
      </c>
      <c r="G262" s="16" t="s">
        <v>57</v>
      </c>
      <c r="H262" s="16">
        <v>22</v>
      </c>
      <c r="I262" s="16">
        <v>249</v>
      </c>
      <c r="J262" s="16">
        <v>248.64</v>
      </c>
    </row>
    <row r="263" spans="1:10" ht="13.95" customHeight="1" x14ac:dyDescent="0.3">
      <c r="A263" s="14">
        <v>46038</v>
      </c>
      <c r="B263" s="15">
        <v>46038.762499999997</v>
      </c>
      <c r="C263" s="16">
        <v>24</v>
      </c>
      <c r="D263" s="16" t="s">
        <v>8</v>
      </c>
      <c r="E263" s="16" t="s">
        <v>5</v>
      </c>
      <c r="F263" s="16" t="s">
        <v>56</v>
      </c>
      <c r="G263" s="16" t="s">
        <v>57</v>
      </c>
      <c r="H263" s="16">
        <v>22</v>
      </c>
      <c r="I263" s="16">
        <v>249</v>
      </c>
      <c r="J263" s="16">
        <v>248.67</v>
      </c>
    </row>
    <row r="264" spans="1:10" ht="13.95" customHeight="1" x14ac:dyDescent="0.3">
      <c r="A264" s="14">
        <v>46038</v>
      </c>
      <c r="B264" s="15">
        <v>46038.761805555558</v>
      </c>
      <c r="C264" s="16">
        <v>20</v>
      </c>
      <c r="D264" s="16" t="s">
        <v>8</v>
      </c>
      <c r="E264" s="16" t="s">
        <v>5</v>
      </c>
      <c r="F264" s="16" t="s">
        <v>69</v>
      </c>
      <c r="G264" s="16" t="s">
        <v>51</v>
      </c>
      <c r="H264" s="16">
        <v>14</v>
      </c>
      <c r="I264" s="16">
        <v>173.4</v>
      </c>
      <c r="J264" s="16">
        <v>173.5</v>
      </c>
    </row>
    <row r="265" spans="1:10" ht="13.95" customHeight="1" x14ac:dyDescent="0.3">
      <c r="A265" s="14">
        <v>46038</v>
      </c>
      <c r="B265" s="15">
        <v>46038.759027777778</v>
      </c>
      <c r="C265" s="16">
        <v>33</v>
      </c>
      <c r="D265" s="16" t="s">
        <v>8</v>
      </c>
      <c r="E265" s="16" t="s">
        <v>5</v>
      </c>
      <c r="F265" s="16" t="s">
        <v>64</v>
      </c>
      <c r="G265" s="16" t="s">
        <v>65</v>
      </c>
      <c r="H265" s="16">
        <v>8</v>
      </c>
      <c r="I265" s="16">
        <v>249.9</v>
      </c>
      <c r="J265" s="16">
        <v>248.9</v>
      </c>
    </row>
    <row r="266" spans="1:10" ht="13.95" customHeight="1" x14ac:dyDescent="0.3">
      <c r="A266" s="14">
        <v>46038</v>
      </c>
      <c r="B266" s="15">
        <v>46038.754861111112</v>
      </c>
      <c r="C266" s="16">
        <v>26</v>
      </c>
      <c r="D266" s="16" t="s">
        <v>8</v>
      </c>
      <c r="E266" s="16" t="s">
        <v>5</v>
      </c>
      <c r="F266" s="16" t="s">
        <v>50</v>
      </c>
      <c r="G266" s="16" t="s">
        <v>51</v>
      </c>
      <c r="H266" s="16">
        <v>14</v>
      </c>
      <c r="I266" s="16">
        <v>166.2</v>
      </c>
      <c r="J266" s="16">
        <v>165.95</v>
      </c>
    </row>
    <row r="267" spans="1:10" ht="13.95" customHeight="1" x14ac:dyDescent="0.3">
      <c r="A267" s="14">
        <v>46038</v>
      </c>
      <c r="B267" s="15">
        <v>46038.752083333333</v>
      </c>
      <c r="C267" s="16">
        <v>33</v>
      </c>
      <c r="D267" s="16" t="s">
        <v>8</v>
      </c>
      <c r="E267" s="16" t="s">
        <v>5</v>
      </c>
      <c r="F267" s="16" t="s">
        <v>64</v>
      </c>
      <c r="G267" s="16" t="s">
        <v>65</v>
      </c>
      <c r="H267" s="16">
        <v>8</v>
      </c>
      <c r="I267" s="16">
        <v>249.9</v>
      </c>
      <c r="J267" s="16">
        <v>249.7</v>
      </c>
    </row>
    <row r="268" spans="1:10" ht="13.95" customHeight="1" x14ac:dyDescent="0.3">
      <c r="A268" s="14">
        <v>46038</v>
      </c>
      <c r="B268" s="15">
        <v>46038.752083333333</v>
      </c>
      <c r="C268" s="16">
        <v>33</v>
      </c>
      <c r="D268" s="16" t="s">
        <v>8</v>
      </c>
      <c r="E268" s="16" t="s">
        <v>5</v>
      </c>
      <c r="F268" s="16" t="s">
        <v>64</v>
      </c>
      <c r="G268" s="16" t="s">
        <v>65</v>
      </c>
      <c r="H268" s="16">
        <v>8</v>
      </c>
      <c r="I268" s="16">
        <v>249.9</v>
      </c>
      <c r="J268" s="16">
        <v>249.7</v>
      </c>
    </row>
    <row r="269" spans="1:10" ht="13.95" customHeight="1" x14ac:dyDescent="0.3">
      <c r="A269" s="14">
        <v>46038</v>
      </c>
      <c r="B269" s="15">
        <v>46038.75</v>
      </c>
      <c r="C269" s="16">
        <v>28</v>
      </c>
      <c r="D269" s="16" t="s">
        <v>8</v>
      </c>
      <c r="E269" s="16" t="s">
        <v>5</v>
      </c>
      <c r="F269" s="16" t="s">
        <v>56</v>
      </c>
      <c r="G269" s="16" t="s">
        <v>57</v>
      </c>
      <c r="H269" s="16">
        <v>22</v>
      </c>
      <c r="I269" s="16">
        <v>249</v>
      </c>
      <c r="J269" s="16">
        <v>250.22</v>
      </c>
    </row>
    <row r="270" spans="1:10" ht="13.95" customHeight="1" x14ac:dyDescent="0.3">
      <c r="A270" s="14">
        <v>46038</v>
      </c>
      <c r="B270" s="15">
        <v>46038.748611111114</v>
      </c>
      <c r="C270" s="16">
        <v>36</v>
      </c>
      <c r="D270" s="16" t="s">
        <v>8</v>
      </c>
      <c r="E270" s="16" t="s">
        <v>5</v>
      </c>
      <c r="F270" s="16" t="s">
        <v>72</v>
      </c>
      <c r="G270" s="16" t="s">
        <v>51</v>
      </c>
      <c r="H270" s="16">
        <v>270</v>
      </c>
      <c r="I270" s="16">
        <v>166.8</v>
      </c>
      <c r="J270" s="16">
        <v>167.9</v>
      </c>
    </row>
    <row r="271" spans="1:10" ht="13.95" customHeight="1" x14ac:dyDescent="0.3">
      <c r="A271" s="14">
        <v>46038</v>
      </c>
      <c r="B271" s="15">
        <v>46038.745138888888</v>
      </c>
      <c r="C271" s="16">
        <v>27</v>
      </c>
      <c r="D271" s="16" t="s">
        <v>8</v>
      </c>
      <c r="E271" s="16" t="s">
        <v>5</v>
      </c>
      <c r="F271" s="16" t="s">
        <v>60</v>
      </c>
      <c r="G271" s="16" t="s">
        <v>61</v>
      </c>
      <c r="H271" s="16">
        <v>2</v>
      </c>
      <c r="I271" s="16">
        <v>239.4</v>
      </c>
      <c r="J271" s="16">
        <v>239.83</v>
      </c>
    </row>
    <row r="272" spans="1:10" ht="13.95" customHeight="1" x14ac:dyDescent="0.3">
      <c r="A272" s="14">
        <v>46038</v>
      </c>
      <c r="B272" s="15">
        <v>46038.740972222222</v>
      </c>
      <c r="C272" s="16">
        <v>37</v>
      </c>
      <c r="D272" s="16" t="s">
        <v>8</v>
      </c>
      <c r="E272" s="16" t="s">
        <v>5</v>
      </c>
      <c r="F272" s="16" t="s">
        <v>52</v>
      </c>
      <c r="G272" s="16" t="s">
        <v>53</v>
      </c>
      <c r="H272" s="16">
        <v>5</v>
      </c>
      <c r="I272" s="16">
        <v>277.8</v>
      </c>
      <c r="J272" s="16">
        <v>283.22000000000003</v>
      </c>
    </row>
    <row r="273" spans="1:10" ht="13.95" customHeight="1" x14ac:dyDescent="0.3">
      <c r="A273" s="14">
        <v>46038</v>
      </c>
      <c r="B273" s="15">
        <v>46038.734722222223</v>
      </c>
      <c r="C273" s="16">
        <v>35</v>
      </c>
      <c r="D273" s="16" t="s">
        <v>8</v>
      </c>
      <c r="E273" s="16" t="s">
        <v>5</v>
      </c>
      <c r="F273" s="16" t="s">
        <v>73</v>
      </c>
      <c r="G273" s="16" t="s">
        <v>63</v>
      </c>
      <c r="H273" s="16">
        <v>13</v>
      </c>
      <c r="I273" s="16">
        <v>284.39999999999998</v>
      </c>
      <c r="J273" s="16">
        <v>284.38</v>
      </c>
    </row>
    <row r="274" spans="1:10" ht="13.95" customHeight="1" x14ac:dyDescent="0.3">
      <c r="A274" s="14">
        <v>46038</v>
      </c>
      <c r="B274" s="15">
        <v>46038.724305555559</v>
      </c>
      <c r="C274" s="16">
        <v>26</v>
      </c>
      <c r="D274" s="16" t="s">
        <v>8</v>
      </c>
      <c r="E274" s="16" t="s">
        <v>5</v>
      </c>
      <c r="F274" s="16" t="s">
        <v>50</v>
      </c>
      <c r="G274" s="16" t="s">
        <v>51</v>
      </c>
      <c r="H274" s="16">
        <v>14</v>
      </c>
      <c r="I274" s="16">
        <v>166.2</v>
      </c>
      <c r="J274" s="16">
        <v>166.7</v>
      </c>
    </row>
    <row r="275" spans="1:10" ht="13.95" customHeight="1" x14ac:dyDescent="0.3">
      <c r="A275" s="14">
        <v>46038</v>
      </c>
      <c r="B275" s="15">
        <v>46038.722222222219</v>
      </c>
      <c r="C275" s="16">
        <v>24</v>
      </c>
      <c r="D275" s="16" t="s">
        <v>8</v>
      </c>
      <c r="E275" s="16" t="s">
        <v>5</v>
      </c>
      <c r="F275" s="16" t="s">
        <v>56</v>
      </c>
      <c r="G275" s="16" t="s">
        <v>57</v>
      </c>
      <c r="H275" s="16">
        <v>22</v>
      </c>
      <c r="I275" s="16">
        <v>249</v>
      </c>
      <c r="J275" s="16">
        <v>249.9</v>
      </c>
    </row>
    <row r="276" spans="1:10" ht="13.95" customHeight="1" x14ac:dyDescent="0.3">
      <c r="A276" s="14">
        <v>46038</v>
      </c>
      <c r="B276" s="15">
        <v>46038.71597222222</v>
      </c>
      <c r="C276" s="16">
        <v>25</v>
      </c>
      <c r="D276" s="16" t="s">
        <v>8</v>
      </c>
      <c r="E276" s="16" t="s">
        <v>5</v>
      </c>
      <c r="F276" s="16" t="s">
        <v>58</v>
      </c>
      <c r="G276" s="16" t="s">
        <v>59</v>
      </c>
      <c r="H276" s="16">
        <v>3</v>
      </c>
      <c r="I276" s="16">
        <v>220.2</v>
      </c>
      <c r="J276" s="16">
        <v>220.24</v>
      </c>
    </row>
    <row r="277" spans="1:10" ht="13.95" customHeight="1" x14ac:dyDescent="0.3">
      <c r="A277" s="14">
        <v>46038</v>
      </c>
      <c r="B277" s="15">
        <v>46038.715277777781</v>
      </c>
      <c r="C277" s="16">
        <v>33</v>
      </c>
      <c r="D277" s="16" t="s">
        <v>8</v>
      </c>
      <c r="E277" s="16" t="s">
        <v>5</v>
      </c>
      <c r="F277" s="16" t="s">
        <v>64</v>
      </c>
      <c r="G277" s="16" t="s">
        <v>65</v>
      </c>
      <c r="H277" s="16">
        <v>8</v>
      </c>
      <c r="I277" s="16">
        <v>249.9</v>
      </c>
      <c r="J277" s="16">
        <v>249.8</v>
      </c>
    </row>
    <row r="278" spans="1:10" ht="13.95" customHeight="1" x14ac:dyDescent="0.3">
      <c r="A278" s="14">
        <v>46038</v>
      </c>
      <c r="B278" s="15">
        <v>46038.715277777781</v>
      </c>
      <c r="C278" s="16">
        <v>20</v>
      </c>
      <c r="D278" s="16" t="s">
        <v>8</v>
      </c>
      <c r="E278" s="16" t="s">
        <v>5</v>
      </c>
      <c r="F278" s="16" t="s">
        <v>69</v>
      </c>
      <c r="G278" s="16" t="s">
        <v>51</v>
      </c>
      <c r="H278" s="16">
        <v>14</v>
      </c>
      <c r="I278" s="16">
        <v>173.4</v>
      </c>
      <c r="J278" s="16">
        <v>172.7</v>
      </c>
    </row>
    <row r="279" spans="1:10" ht="13.95" customHeight="1" x14ac:dyDescent="0.3">
      <c r="A279" s="14">
        <v>46038</v>
      </c>
      <c r="B279" s="15">
        <v>46038.713194444441</v>
      </c>
      <c r="C279" s="16">
        <v>10</v>
      </c>
      <c r="D279" s="16" t="s">
        <v>8</v>
      </c>
      <c r="E279" s="16" t="s">
        <v>5</v>
      </c>
      <c r="F279" s="16" t="s">
        <v>54</v>
      </c>
      <c r="G279" s="16" t="s">
        <v>55</v>
      </c>
      <c r="H279" s="16">
        <v>2</v>
      </c>
      <c r="I279" s="16">
        <v>278.10000000000002</v>
      </c>
      <c r="J279" s="16">
        <v>279.10000000000002</v>
      </c>
    </row>
    <row r="280" spans="1:10" ht="13.95" customHeight="1" x14ac:dyDescent="0.3">
      <c r="A280" s="14">
        <v>46038</v>
      </c>
      <c r="B280" s="15">
        <v>46038.704861111109</v>
      </c>
      <c r="C280" s="16">
        <v>36</v>
      </c>
      <c r="D280" s="16" t="s">
        <v>8</v>
      </c>
      <c r="E280" s="16" t="s">
        <v>5</v>
      </c>
      <c r="F280" s="16" t="s">
        <v>72</v>
      </c>
      <c r="G280" s="16" t="s">
        <v>51</v>
      </c>
      <c r="H280" s="16">
        <v>270</v>
      </c>
      <c r="I280" s="16">
        <v>166.8</v>
      </c>
      <c r="J280" s="16">
        <v>167.73</v>
      </c>
    </row>
    <row r="281" spans="1:10" ht="13.95" customHeight="1" x14ac:dyDescent="0.3">
      <c r="A281" s="14">
        <v>46038</v>
      </c>
      <c r="B281" s="15">
        <v>46038.695833333331</v>
      </c>
      <c r="C281" s="16">
        <v>10</v>
      </c>
      <c r="D281" s="16" t="s">
        <v>8</v>
      </c>
      <c r="E281" s="16" t="s">
        <v>5</v>
      </c>
      <c r="F281" s="16" t="s">
        <v>54</v>
      </c>
      <c r="G281" s="16" t="s">
        <v>55</v>
      </c>
      <c r="H281" s="16">
        <v>2</v>
      </c>
      <c r="I281" s="16">
        <v>278.10000000000002</v>
      </c>
      <c r="J281" s="16">
        <v>279.19</v>
      </c>
    </row>
    <row r="282" spans="1:10" ht="13.95" customHeight="1" x14ac:dyDescent="0.3">
      <c r="A282" s="14">
        <v>46038</v>
      </c>
      <c r="B282" s="15">
        <v>46038.685416666667</v>
      </c>
      <c r="C282" s="16">
        <v>20</v>
      </c>
      <c r="D282" s="16" t="s">
        <v>8</v>
      </c>
      <c r="E282" s="16" t="s">
        <v>5</v>
      </c>
      <c r="F282" s="16" t="s">
        <v>69</v>
      </c>
      <c r="G282" s="16" t="s">
        <v>51</v>
      </c>
      <c r="H282" s="16">
        <v>14</v>
      </c>
      <c r="I282" s="16">
        <v>173.4</v>
      </c>
      <c r="J282" s="16">
        <v>172.9</v>
      </c>
    </row>
    <row r="283" spans="1:10" ht="13.95" customHeight="1" x14ac:dyDescent="0.3">
      <c r="A283" s="14">
        <v>46038</v>
      </c>
      <c r="B283" s="15">
        <v>46038.681944444441</v>
      </c>
      <c r="C283" s="16">
        <v>28</v>
      </c>
      <c r="D283" s="16" t="s">
        <v>8</v>
      </c>
      <c r="E283" s="16" t="s">
        <v>5</v>
      </c>
      <c r="F283" s="16" t="s">
        <v>56</v>
      </c>
      <c r="G283" s="16" t="s">
        <v>57</v>
      </c>
      <c r="H283" s="16">
        <v>22</v>
      </c>
      <c r="I283" s="16">
        <v>249</v>
      </c>
      <c r="J283" s="16">
        <v>249.62</v>
      </c>
    </row>
    <row r="284" spans="1:10" ht="13.95" customHeight="1" x14ac:dyDescent="0.3">
      <c r="A284" s="14">
        <v>46038</v>
      </c>
      <c r="B284" s="15">
        <v>46038.677777777775</v>
      </c>
      <c r="C284" s="16">
        <v>33</v>
      </c>
      <c r="D284" s="16" t="s">
        <v>8</v>
      </c>
      <c r="E284" s="16" t="s">
        <v>5</v>
      </c>
      <c r="F284" s="16" t="s">
        <v>64</v>
      </c>
      <c r="G284" s="16" t="s">
        <v>65</v>
      </c>
      <c r="H284" s="16">
        <v>8</v>
      </c>
      <c r="I284" s="16">
        <v>249.9</v>
      </c>
      <c r="J284" s="16">
        <v>249.9</v>
      </c>
    </row>
    <row r="285" spans="1:10" ht="13.95" customHeight="1" x14ac:dyDescent="0.3">
      <c r="A285" s="14">
        <v>46038</v>
      </c>
      <c r="B285" s="15">
        <v>46038.676388888889</v>
      </c>
      <c r="C285" s="16">
        <v>36</v>
      </c>
      <c r="D285" s="16" t="s">
        <v>8</v>
      </c>
      <c r="E285" s="16" t="s">
        <v>5</v>
      </c>
      <c r="F285" s="16" t="s">
        <v>72</v>
      </c>
      <c r="G285" s="16" t="s">
        <v>51</v>
      </c>
      <c r="H285" s="16">
        <v>270</v>
      </c>
      <c r="I285" s="16">
        <v>166.8</v>
      </c>
      <c r="J285" s="16">
        <v>167.75</v>
      </c>
    </row>
    <row r="286" spans="1:10" ht="13.95" customHeight="1" x14ac:dyDescent="0.3">
      <c r="A286" s="14">
        <v>46038</v>
      </c>
      <c r="B286" s="15">
        <v>46038.672222222223</v>
      </c>
      <c r="C286" s="16">
        <v>24</v>
      </c>
      <c r="D286" s="16" t="s">
        <v>8</v>
      </c>
      <c r="E286" s="16" t="s">
        <v>5</v>
      </c>
      <c r="F286" s="16" t="s">
        <v>56</v>
      </c>
      <c r="G286" s="16" t="s">
        <v>57</v>
      </c>
      <c r="H286" s="16">
        <v>22</v>
      </c>
      <c r="I286" s="16">
        <v>249</v>
      </c>
      <c r="J286" s="16">
        <v>248.98</v>
      </c>
    </row>
    <row r="287" spans="1:10" ht="13.95" customHeight="1" x14ac:dyDescent="0.3">
      <c r="A287" s="14">
        <v>46038</v>
      </c>
      <c r="B287" s="15">
        <v>46038.67083333333</v>
      </c>
      <c r="C287" s="16">
        <v>26</v>
      </c>
      <c r="D287" s="16" t="s">
        <v>8</v>
      </c>
      <c r="E287" s="16" t="s">
        <v>5</v>
      </c>
      <c r="F287" s="16" t="s">
        <v>50</v>
      </c>
      <c r="G287" s="16" t="s">
        <v>51</v>
      </c>
      <c r="H287" s="16">
        <v>14</v>
      </c>
      <c r="I287" s="16">
        <v>166.2</v>
      </c>
      <c r="J287" s="16">
        <v>166.75</v>
      </c>
    </row>
    <row r="288" spans="1:10" ht="13.95" customHeight="1" x14ac:dyDescent="0.3">
      <c r="A288" s="14">
        <v>46038</v>
      </c>
      <c r="B288" s="15">
        <v>46038.643750000003</v>
      </c>
      <c r="C288" s="16">
        <v>28</v>
      </c>
      <c r="D288" s="16" t="s">
        <v>8</v>
      </c>
      <c r="E288" s="16" t="s">
        <v>5</v>
      </c>
      <c r="F288" s="16" t="s">
        <v>56</v>
      </c>
      <c r="G288" s="16" t="s">
        <v>57</v>
      </c>
      <c r="H288" s="16">
        <v>22</v>
      </c>
      <c r="I288" s="16">
        <v>249</v>
      </c>
      <c r="J288" s="16">
        <v>249.41</v>
      </c>
    </row>
    <row r="289" spans="1:10" ht="13.95" customHeight="1" x14ac:dyDescent="0.3">
      <c r="A289" s="14">
        <v>46038</v>
      </c>
      <c r="B289" s="15">
        <v>46038.643055555556</v>
      </c>
      <c r="C289" s="16">
        <v>33</v>
      </c>
      <c r="D289" s="16" t="s">
        <v>8</v>
      </c>
      <c r="E289" s="16" t="s">
        <v>5</v>
      </c>
      <c r="F289" s="16" t="s">
        <v>64</v>
      </c>
      <c r="G289" s="16" t="s">
        <v>65</v>
      </c>
      <c r="H289" s="16">
        <v>8</v>
      </c>
      <c r="I289" s="16">
        <v>249.9</v>
      </c>
      <c r="J289" s="16">
        <v>250.8</v>
      </c>
    </row>
    <row r="290" spans="1:10" ht="13.95" customHeight="1" x14ac:dyDescent="0.3">
      <c r="A290" s="14">
        <v>46038</v>
      </c>
      <c r="B290" s="15">
        <v>46038.640972222223</v>
      </c>
      <c r="C290" s="16">
        <v>25</v>
      </c>
      <c r="D290" s="16" t="s">
        <v>8</v>
      </c>
      <c r="E290" s="16" t="s">
        <v>5</v>
      </c>
      <c r="F290" s="16" t="s">
        <v>58</v>
      </c>
      <c r="G290" s="16" t="s">
        <v>59</v>
      </c>
      <c r="H290" s="16">
        <v>3</v>
      </c>
      <c r="I290" s="16">
        <v>220.2</v>
      </c>
      <c r="J290" s="16">
        <v>220.33</v>
      </c>
    </row>
    <row r="291" spans="1:10" ht="13.95" customHeight="1" x14ac:dyDescent="0.3">
      <c r="A291" s="14">
        <v>46038</v>
      </c>
      <c r="B291" s="15">
        <v>46038.63958333333</v>
      </c>
      <c r="C291" s="16">
        <v>25</v>
      </c>
      <c r="D291" s="16" t="s">
        <v>8</v>
      </c>
      <c r="E291" s="16" t="s">
        <v>5</v>
      </c>
      <c r="F291" s="16" t="s">
        <v>58</v>
      </c>
      <c r="G291" s="16" t="s">
        <v>59</v>
      </c>
      <c r="H291" s="16">
        <v>3</v>
      </c>
      <c r="I291" s="16">
        <v>220.2</v>
      </c>
      <c r="J291" s="16">
        <v>221.36</v>
      </c>
    </row>
    <row r="292" spans="1:10" ht="13.95" customHeight="1" x14ac:dyDescent="0.3">
      <c r="A292" s="14">
        <v>46038</v>
      </c>
      <c r="B292" s="15">
        <v>46038.637499999997</v>
      </c>
      <c r="C292" s="16">
        <v>33</v>
      </c>
      <c r="D292" s="16" t="s">
        <v>8</v>
      </c>
      <c r="E292" s="16" t="s">
        <v>5</v>
      </c>
      <c r="F292" s="16" t="s">
        <v>64</v>
      </c>
      <c r="G292" s="16" t="s">
        <v>65</v>
      </c>
      <c r="H292" s="16">
        <v>8</v>
      </c>
      <c r="I292" s="16">
        <v>249.9</v>
      </c>
      <c r="J292" s="16">
        <v>250.9</v>
      </c>
    </row>
    <row r="293" spans="1:10" ht="13.95" customHeight="1" x14ac:dyDescent="0.3">
      <c r="A293" s="14">
        <v>46038</v>
      </c>
      <c r="B293" s="15">
        <v>46038.637499999997</v>
      </c>
      <c r="C293" s="16">
        <v>33</v>
      </c>
      <c r="D293" s="16" t="s">
        <v>8</v>
      </c>
      <c r="E293" s="16" t="s">
        <v>5</v>
      </c>
      <c r="F293" s="16" t="s">
        <v>64</v>
      </c>
      <c r="G293" s="16" t="s">
        <v>65</v>
      </c>
      <c r="H293" s="16">
        <v>8</v>
      </c>
      <c r="I293" s="16">
        <v>249.9</v>
      </c>
      <c r="J293" s="16">
        <v>250.9</v>
      </c>
    </row>
    <row r="294" spans="1:10" ht="13.95" customHeight="1" x14ac:dyDescent="0.3">
      <c r="A294" s="14">
        <v>46038</v>
      </c>
      <c r="B294" s="15">
        <v>46038.636111111111</v>
      </c>
      <c r="C294" s="16">
        <v>35</v>
      </c>
      <c r="D294" s="16" t="s">
        <v>8</v>
      </c>
      <c r="E294" s="16" t="s">
        <v>5</v>
      </c>
      <c r="F294" s="16" t="s">
        <v>73</v>
      </c>
      <c r="G294" s="16" t="s">
        <v>63</v>
      </c>
      <c r="H294" s="16">
        <v>13</v>
      </c>
      <c r="I294" s="16">
        <v>284.39999999999998</v>
      </c>
      <c r="J294" s="16">
        <v>283.69</v>
      </c>
    </row>
    <row r="295" spans="1:10" ht="13.95" customHeight="1" x14ac:dyDescent="0.3">
      <c r="A295" s="14">
        <v>46038</v>
      </c>
      <c r="B295" s="15">
        <v>46038.632638888892</v>
      </c>
      <c r="C295" s="16">
        <v>26</v>
      </c>
      <c r="D295" s="16" t="s">
        <v>8</v>
      </c>
      <c r="E295" s="16" t="s">
        <v>5</v>
      </c>
      <c r="F295" s="16" t="s">
        <v>50</v>
      </c>
      <c r="G295" s="16" t="s">
        <v>51</v>
      </c>
      <c r="H295" s="16">
        <v>14</v>
      </c>
      <c r="I295" s="16">
        <v>166.2</v>
      </c>
      <c r="J295" s="16">
        <v>166.87</v>
      </c>
    </row>
    <row r="296" spans="1:10" ht="13.95" customHeight="1" x14ac:dyDescent="0.3">
      <c r="A296" s="14">
        <v>46038</v>
      </c>
      <c r="B296" s="15">
        <v>46038.631249999999</v>
      </c>
      <c r="C296" s="16">
        <v>10</v>
      </c>
      <c r="D296" s="16" t="s">
        <v>8</v>
      </c>
      <c r="E296" s="16" t="s">
        <v>5</v>
      </c>
      <c r="F296" s="16" t="s">
        <v>54</v>
      </c>
      <c r="G296" s="16" t="s">
        <v>55</v>
      </c>
      <c r="H296" s="16">
        <v>2</v>
      </c>
      <c r="I296" s="16">
        <v>278.10000000000002</v>
      </c>
      <c r="J296" s="16">
        <v>278.58</v>
      </c>
    </row>
    <row r="297" spans="1:10" ht="13.95" customHeight="1" x14ac:dyDescent="0.3">
      <c r="A297" s="14">
        <v>46038</v>
      </c>
      <c r="B297" s="15">
        <v>46038.629861111112</v>
      </c>
      <c r="C297" s="16">
        <v>24</v>
      </c>
      <c r="D297" s="16" t="s">
        <v>8</v>
      </c>
      <c r="E297" s="16" t="s">
        <v>5</v>
      </c>
      <c r="F297" s="16" t="s">
        <v>56</v>
      </c>
      <c r="G297" s="16" t="s">
        <v>57</v>
      </c>
      <c r="H297" s="16">
        <v>22</v>
      </c>
      <c r="I297" s="16">
        <v>249</v>
      </c>
      <c r="J297" s="16">
        <v>249.32</v>
      </c>
    </row>
    <row r="298" spans="1:10" ht="13.95" customHeight="1" x14ac:dyDescent="0.3">
      <c r="A298" s="14">
        <v>46038</v>
      </c>
      <c r="B298" s="15">
        <v>46038.629861111112</v>
      </c>
      <c r="C298" s="16">
        <v>24</v>
      </c>
      <c r="D298" s="16" t="s">
        <v>8</v>
      </c>
      <c r="E298" s="16" t="s">
        <v>5</v>
      </c>
      <c r="F298" s="16" t="s">
        <v>56</v>
      </c>
      <c r="G298" s="16" t="s">
        <v>57</v>
      </c>
      <c r="H298" s="16">
        <v>22</v>
      </c>
      <c r="I298" s="16">
        <v>249</v>
      </c>
      <c r="J298" s="16">
        <v>249.33</v>
      </c>
    </row>
    <row r="299" spans="1:10" ht="13.95" customHeight="1" x14ac:dyDescent="0.3">
      <c r="A299" s="14">
        <v>46038</v>
      </c>
      <c r="B299" s="15">
        <v>46038.629861111112</v>
      </c>
      <c r="C299" s="16">
        <v>27</v>
      </c>
      <c r="D299" s="16" t="s">
        <v>8</v>
      </c>
      <c r="E299" s="16" t="s">
        <v>5</v>
      </c>
      <c r="F299" s="16" t="s">
        <v>60</v>
      </c>
      <c r="G299" s="16" t="s">
        <v>61</v>
      </c>
      <c r="H299" s="16">
        <v>2</v>
      </c>
      <c r="I299" s="16">
        <v>239.4</v>
      </c>
      <c r="J299" s="16">
        <v>239.12</v>
      </c>
    </row>
    <row r="300" spans="1:10" ht="13.95" customHeight="1" x14ac:dyDescent="0.3">
      <c r="A300" s="14">
        <v>46038</v>
      </c>
      <c r="B300" s="15">
        <v>46038.629166666666</v>
      </c>
      <c r="C300" s="16">
        <v>10</v>
      </c>
      <c r="D300" s="16" t="s">
        <v>8</v>
      </c>
      <c r="E300" s="16" t="s">
        <v>5</v>
      </c>
      <c r="F300" s="16" t="s">
        <v>54</v>
      </c>
      <c r="G300" s="16" t="s">
        <v>55</v>
      </c>
      <c r="H300" s="16">
        <v>2</v>
      </c>
      <c r="I300" s="16">
        <v>278.10000000000002</v>
      </c>
      <c r="J300" s="16">
        <v>279.52999999999997</v>
      </c>
    </row>
    <row r="301" spans="1:10" ht="13.95" customHeight="1" x14ac:dyDescent="0.3">
      <c r="A301" s="14">
        <v>46038</v>
      </c>
      <c r="B301" s="15">
        <v>46038.620138888888</v>
      </c>
      <c r="C301" s="16">
        <v>26</v>
      </c>
      <c r="D301" s="16" t="s">
        <v>66</v>
      </c>
      <c r="E301" s="16" t="s">
        <v>8</v>
      </c>
      <c r="F301" s="16" t="s">
        <v>50</v>
      </c>
      <c r="G301" s="16" t="s">
        <v>51</v>
      </c>
      <c r="H301" s="16">
        <v>14</v>
      </c>
      <c r="I301" s="16">
        <v>166.2</v>
      </c>
      <c r="J301" s="16">
        <v>166.34</v>
      </c>
    </row>
    <row r="302" spans="1:10" ht="13.95" customHeight="1" x14ac:dyDescent="0.3">
      <c r="A302" s="14">
        <v>46038</v>
      </c>
      <c r="B302" s="15">
        <v>46038.617361111108</v>
      </c>
      <c r="C302" s="16">
        <v>20</v>
      </c>
      <c r="D302" s="16" t="s">
        <v>66</v>
      </c>
      <c r="E302" s="16" t="s">
        <v>8</v>
      </c>
      <c r="F302" s="16" t="s">
        <v>69</v>
      </c>
      <c r="G302" s="16" t="s">
        <v>51</v>
      </c>
      <c r="H302" s="16">
        <v>14</v>
      </c>
      <c r="I302" s="16">
        <v>173.4</v>
      </c>
      <c r="J302" s="16">
        <v>173.5</v>
      </c>
    </row>
    <row r="303" spans="1:10" ht="13.95" customHeight="1" x14ac:dyDescent="0.3">
      <c r="A303" s="14">
        <v>46038</v>
      </c>
      <c r="B303" s="15">
        <v>46038.611805555556</v>
      </c>
      <c r="C303" s="16">
        <v>28</v>
      </c>
      <c r="D303" s="16" t="s">
        <v>66</v>
      </c>
      <c r="E303" s="16" t="s">
        <v>8</v>
      </c>
      <c r="F303" s="16" t="s">
        <v>56</v>
      </c>
      <c r="G303" s="16" t="s">
        <v>57</v>
      </c>
      <c r="H303" s="16">
        <v>22</v>
      </c>
      <c r="I303" s="16">
        <v>249</v>
      </c>
      <c r="J303" s="16">
        <v>249.24</v>
      </c>
    </row>
    <row r="304" spans="1:10" ht="13.95" customHeight="1" x14ac:dyDescent="0.3">
      <c r="A304" s="14">
        <v>46038</v>
      </c>
      <c r="B304" s="15">
        <v>46038.607638888891</v>
      </c>
      <c r="C304" s="16">
        <v>10</v>
      </c>
      <c r="D304" s="16" t="s">
        <v>66</v>
      </c>
      <c r="E304" s="16" t="s">
        <v>8</v>
      </c>
      <c r="F304" s="16" t="s">
        <v>54</v>
      </c>
      <c r="G304" s="16" t="s">
        <v>55</v>
      </c>
      <c r="H304" s="16">
        <v>2</v>
      </c>
      <c r="I304" s="16">
        <v>278.10000000000002</v>
      </c>
      <c r="J304" s="16">
        <v>279.63</v>
      </c>
    </row>
    <row r="305" spans="1:10" ht="13.95" customHeight="1" x14ac:dyDescent="0.3">
      <c r="A305" s="14">
        <v>46038</v>
      </c>
      <c r="B305" s="15">
        <v>46038.606944444444</v>
      </c>
      <c r="C305" s="16">
        <v>25</v>
      </c>
      <c r="D305" s="16" t="s">
        <v>66</v>
      </c>
      <c r="E305" s="16" t="s">
        <v>8</v>
      </c>
      <c r="F305" s="16" t="s">
        <v>58</v>
      </c>
      <c r="G305" s="16" t="s">
        <v>59</v>
      </c>
      <c r="H305" s="16">
        <v>3</v>
      </c>
      <c r="I305" s="16">
        <v>220.2</v>
      </c>
      <c r="J305" s="16">
        <v>220.92</v>
      </c>
    </row>
    <row r="306" spans="1:10" ht="13.95" customHeight="1" x14ac:dyDescent="0.3">
      <c r="A306" s="14">
        <v>46038</v>
      </c>
      <c r="B306" s="15">
        <v>46038.594444444447</v>
      </c>
      <c r="C306" s="16">
        <v>36</v>
      </c>
      <c r="D306" s="16" t="s">
        <v>66</v>
      </c>
      <c r="E306" s="16" t="s">
        <v>8</v>
      </c>
      <c r="F306" s="16" t="s">
        <v>72</v>
      </c>
      <c r="G306" s="16" t="s">
        <v>51</v>
      </c>
      <c r="H306" s="16">
        <v>270</v>
      </c>
      <c r="I306" s="16">
        <v>166.8</v>
      </c>
      <c r="J306" s="16">
        <v>165.63</v>
      </c>
    </row>
    <row r="307" spans="1:10" ht="13.95" customHeight="1" x14ac:dyDescent="0.3">
      <c r="A307" s="14">
        <v>46038</v>
      </c>
      <c r="B307" s="15">
        <v>46038.59097222222</v>
      </c>
      <c r="C307" s="16">
        <v>9</v>
      </c>
      <c r="D307" s="16" t="s">
        <v>66</v>
      </c>
      <c r="E307" s="16" t="s">
        <v>8</v>
      </c>
      <c r="F307" s="16" t="s">
        <v>50</v>
      </c>
      <c r="G307" s="16" t="s">
        <v>51</v>
      </c>
      <c r="H307" s="16">
        <v>14</v>
      </c>
      <c r="I307" s="16">
        <v>166.2</v>
      </c>
      <c r="J307" s="16">
        <v>167.03</v>
      </c>
    </row>
    <row r="308" spans="1:10" ht="13.95" customHeight="1" x14ac:dyDescent="0.3">
      <c r="A308" s="14">
        <v>46038</v>
      </c>
      <c r="B308" s="15">
        <v>46038.59097222222</v>
      </c>
      <c r="C308" s="16">
        <v>38</v>
      </c>
      <c r="D308" s="16" t="s">
        <v>66</v>
      </c>
      <c r="E308" s="16" t="s">
        <v>8</v>
      </c>
      <c r="F308" s="16" t="s">
        <v>52</v>
      </c>
      <c r="G308" s="16" t="s">
        <v>53</v>
      </c>
      <c r="H308" s="16">
        <v>5</v>
      </c>
      <c r="I308" s="16">
        <v>277.8</v>
      </c>
      <c r="J308" s="16">
        <v>277.60000000000002</v>
      </c>
    </row>
    <row r="309" spans="1:10" ht="13.95" customHeight="1" x14ac:dyDescent="0.3">
      <c r="A309" s="14">
        <v>46038</v>
      </c>
      <c r="B309" s="15">
        <v>46038.59097222222</v>
      </c>
      <c r="C309" s="16">
        <v>9</v>
      </c>
      <c r="D309" s="16" t="s">
        <v>66</v>
      </c>
      <c r="E309" s="16" t="s">
        <v>8</v>
      </c>
      <c r="F309" s="16" t="s">
        <v>50</v>
      </c>
      <c r="G309" s="16" t="s">
        <v>51</v>
      </c>
      <c r="H309" s="16">
        <v>14</v>
      </c>
      <c r="I309" s="16">
        <v>166.2</v>
      </c>
      <c r="J309" s="16">
        <v>167.03</v>
      </c>
    </row>
    <row r="310" spans="1:10" ht="13.95" customHeight="1" x14ac:dyDescent="0.3">
      <c r="A310" s="14">
        <v>46038</v>
      </c>
      <c r="B310" s="15">
        <v>46038.59097222222</v>
      </c>
      <c r="C310" s="16">
        <v>9</v>
      </c>
      <c r="D310" s="16" t="s">
        <v>66</v>
      </c>
      <c r="E310" s="16" t="s">
        <v>8</v>
      </c>
      <c r="F310" s="16" t="s">
        <v>50</v>
      </c>
      <c r="G310" s="16" t="s">
        <v>51</v>
      </c>
      <c r="H310" s="16">
        <v>14</v>
      </c>
      <c r="I310" s="16">
        <v>166.2</v>
      </c>
      <c r="J310" s="16">
        <v>166.99</v>
      </c>
    </row>
    <row r="311" spans="1:10" ht="13.95" customHeight="1" x14ac:dyDescent="0.3">
      <c r="A311" s="14">
        <v>46038</v>
      </c>
      <c r="B311" s="15">
        <v>46038.590277777781</v>
      </c>
      <c r="C311" s="16">
        <v>10</v>
      </c>
      <c r="D311" s="16" t="s">
        <v>66</v>
      </c>
      <c r="E311" s="16" t="s">
        <v>8</v>
      </c>
      <c r="F311" s="16" t="s">
        <v>54</v>
      </c>
      <c r="G311" s="16" t="s">
        <v>55</v>
      </c>
      <c r="H311" s="16">
        <v>2</v>
      </c>
      <c r="I311" s="16">
        <v>278.10000000000002</v>
      </c>
      <c r="J311" s="16">
        <v>279.72000000000003</v>
      </c>
    </row>
    <row r="312" spans="1:10" ht="13.95" customHeight="1" x14ac:dyDescent="0.3">
      <c r="A312" s="14">
        <v>46038</v>
      </c>
      <c r="B312" s="15">
        <v>46038.587500000001</v>
      </c>
      <c r="C312" s="16">
        <v>27</v>
      </c>
      <c r="D312" s="16" t="s">
        <v>66</v>
      </c>
      <c r="E312" s="16" t="s">
        <v>8</v>
      </c>
      <c r="F312" s="16" t="s">
        <v>60</v>
      </c>
      <c r="G312" s="16" t="s">
        <v>61</v>
      </c>
      <c r="H312" s="16">
        <v>2</v>
      </c>
      <c r="I312" s="16">
        <v>239.4</v>
      </c>
      <c r="J312" s="16">
        <v>239.8</v>
      </c>
    </row>
    <row r="313" spans="1:10" ht="13.95" customHeight="1" x14ac:dyDescent="0.3">
      <c r="A313" s="14">
        <v>46038</v>
      </c>
      <c r="B313" s="15">
        <v>46038.585416666669</v>
      </c>
      <c r="C313" s="16">
        <v>33</v>
      </c>
      <c r="D313" s="16" t="s">
        <v>66</v>
      </c>
      <c r="E313" s="16" t="s">
        <v>8</v>
      </c>
      <c r="F313" s="16" t="s">
        <v>64</v>
      </c>
      <c r="G313" s="16" t="s">
        <v>65</v>
      </c>
      <c r="H313" s="16">
        <v>8</v>
      </c>
      <c r="I313" s="16">
        <v>249.9</v>
      </c>
      <c r="J313" s="16">
        <v>249.7</v>
      </c>
    </row>
    <row r="314" spans="1:10" ht="13.95" customHeight="1" x14ac:dyDescent="0.3">
      <c r="A314" s="14">
        <v>46038</v>
      </c>
      <c r="B314" s="15">
        <v>46038.584027777775</v>
      </c>
      <c r="C314" s="16">
        <v>24</v>
      </c>
      <c r="D314" s="16" t="s">
        <v>66</v>
      </c>
      <c r="E314" s="16" t="s">
        <v>8</v>
      </c>
      <c r="F314" s="16" t="s">
        <v>56</v>
      </c>
      <c r="G314" s="16" t="s">
        <v>57</v>
      </c>
      <c r="H314" s="16">
        <v>22</v>
      </c>
      <c r="I314" s="16">
        <v>249</v>
      </c>
      <c r="J314" s="16">
        <v>248.98</v>
      </c>
    </row>
    <row r="315" spans="1:10" ht="13.95" customHeight="1" x14ac:dyDescent="0.3">
      <c r="A315" s="14">
        <v>46038</v>
      </c>
      <c r="B315" s="15">
        <v>46038.584027777775</v>
      </c>
      <c r="C315" s="16">
        <v>35</v>
      </c>
      <c r="D315" s="16" t="s">
        <v>66</v>
      </c>
      <c r="E315" s="16" t="s">
        <v>8</v>
      </c>
      <c r="F315" s="16" t="s">
        <v>73</v>
      </c>
      <c r="G315" s="16" t="s">
        <v>63</v>
      </c>
      <c r="H315" s="16">
        <v>13</v>
      </c>
      <c r="I315" s="16">
        <v>284.39999999999998</v>
      </c>
      <c r="J315" s="16">
        <v>282.27999999999997</v>
      </c>
    </row>
    <row r="316" spans="1:10" ht="13.95" customHeight="1" x14ac:dyDescent="0.3">
      <c r="A316" s="14">
        <v>46038</v>
      </c>
      <c r="B316" s="15">
        <v>46038.584027777775</v>
      </c>
      <c r="C316" s="16">
        <v>35</v>
      </c>
      <c r="D316" s="16" t="s">
        <v>66</v>
      </c>
      <c r="E316" s="16" t="s">
        <v>8</v>
      </c>
      <c r="F316" s="16" t="s">
        <v>73</v>
      </c>
      <c r="G316" s="16" t="s">
        <v>63</v>
      </c>
      <c r="H316" s="16">
        <v>13</v>
      </c>
      <c r="I316" s="16">
        <v>284.39999999999998</v>
      </c>
      <c r="J316" s="16">
        <v>282.31</v>
      </c>
    </row>
    <row r="317" spans="1:10" ht="13.95" customHeight="1" x14ac:dyDescent="0.3">
      <c r="A317" s="14">
        <v>46038</v>
      </c>
      <c r="B317" s="15">
        <v>46038.571527777778</v>
      </c>
      <c r="C317" s="16">
        <v>9</v>
      </c>
      <c r="D317" s="16" t="s">
        <v>66</v>
      </c>
      <c r="E317" s="16" t="s">
        <v>8</v>
      </c>
      <c r="F317" s="16" t="s">
        <v>50</v>
      </c>
      <c r="G317" s="16" t="s">
        <v>51</v>
      </c>
      <c r="H317" s="16">
        <v>14</v>
      </c>
      <c r="I317" s="16">
        <v>166.2</v>
      </c>
      <c r="J317" s="16">
        <v>167.09</v>
      </c>
    </row>
    <row r="318" spans="1:10" ht="13.95" customHeight="1" x14ac:dyDescent="0.3">
      <c r="A318" s="14">
        <v>46038</v>
      </c>
      <c r="B318" s="15">
        <v>46038.571527777778</v>
      </c>
      <c r="C318" s="16">
        <v>9</v>
      </c>
      <c r="D318" s="16" t="s">
        <v>66</v>
      </c>
      <c r="E318" s="16" t="s">
        <v>8</v>
      </c>
      <c r="F318" s="16" t="s">
        <v>50</v>
      </c>
      <c r="G318" s="16" t="s">
        <v>51</v>
      </c>
      <c r="H318" s="16">
        <v>14</v>
      </c>
      <c r="I318" s="16">
        <v>166.2</v>
      </c>
      <c r="J318" s="16">
        <v>167.08</v>
      </c>
    </row>
    <row r="319" spans="1:10" ht="13.95" customHeight="1" x14ac:dyDescent="0.3">
      <c r="A319" s="14">
        <v>46038</v>
      </c>
      <c r="B319" s="15">
        <v>46038.558333333334</v>
      </c>
      <c r="C319" s="16">
        <v>38</v>
      </c>
      <c r="D319" s="16" t="s">
        <v>66</v>
      </c>
      <c r="E319" s="16" t="s">
        <v>8</v>
      </c>
      <c r="F319" s="16" t="s">
        <v>52</v>
      </c>
      <c r="G319" s="16" t="s">
        <v>53</v>
      </c>
      <c r="H319" s="16">
        <v>5</v>
      </c>
      <c r="I319" s="16">
        <v>277.8</v>
      </c>
      <c r="J319" s="16">
        <v>278.2</v>
      </c>
    </row>
    <row r="320" spans="1:10" ht="13.95" customHeight="1" x14ac:dyDescent="0.3">
      <c r="A320" s="14">
        <v>46038</v>
      </c>
      <c r="B320" s="15">
        <v>46038.557638888888</v>
      </c>
      <c r="C320" s="16">
        <v>26</v>
      </c>
      <c r="D320" s="16" t="s">
        <v>66</v>
      </c>
      <c r="E320" s="16" t="s">
        <v>8</v>
      </c>
      <c r="F320" s="16" t="s">
        <v>50</v>
      </c>
      <c r="G320" s="16" t="s">
        <v>51</v>
      </c>
      <c r="H320" s="16">
        <v>14</v>
      </c>
      <c r="I320" s="16">
        <v>166.2</v>
      </c>
      <c r="J320" s="16">
        <v>166.6</v>
      </c>
    </row>
    <row r="321" spans="1:10" ht="13.95" customHeight="1" x14ac:dyDescent="0.3">
      <c r="A321" s="14">
        <v>46038</v>
      </c>
      <c r="B321" s="15">
        <v>46038.556944444441</v>
      </c>
      <c r="C321" s="16">
        <v>10</v>
      </c>
      <c r="D321" s="16" t="s">
        <v>66</v>
      </c>
      <c r="E321" s="16" t="s">
        <v>8</v>
      </c>
      <c r="F321" s="16" t="s">
        <v>54</v>
      </c>
      <c r="G321" s="16" t="s">
        <v>55</v>
      </c>
      <c r="H321" s="16">
        <v>2</v>
      </c>
      <c r="I321" s="16">
        <v>278.10000000000002</v>
      </c>
      <c r="J321" s="16">
        <v>279.89</v>
      </c>
    </row>
    <row r="322" spans="1:10" ht="13.95" customHeight="1" x14ac:dyDescent="0.3">
      <c r="A322" s="14">
        <v>46038</v>
      </c>
      <c r="B322" s="15">
        <v>46038.556250000001</v>
      </c>
      <c r="C322" s="16">
        <v>10</v>
      </c>
      <c r="D322" s="16" t="s">
        <v>66</v>
      </c>
      <c r="E322" s="16" t="s">
        <v>8</v>
      </c>
      <c r="F322" s="16" t="s">
        <v>54</v>
      </c>
      <c r="G322" s="16" t="s">
        <v>55</v>
      </c>
      <c r="H322" s="16">
        <v>2</v>
      </c>
      <c r="I322" s="16">
        <v>278.10000000000002</v>
      </c>
      <c r="J322" s="16">
        <v>279.89</v>
      </c>
    </row>
    <row r="323" spans="1:10" ht="13.95" customHeight="1" x14ac:dyDescent="0.3">
      <c r="A323" s="14">
        <v>46038</v>
      </c>
      <c r="B323" s="15">
        <v>46038.554861111108</v>
      </c>
      <c r="C323" s="16">
        <v>27</v>
      </c>
      <c r="D323" s="16" t="s">
        <v>66</v>
      </c>
      <c r="E323" s="16" t="s">
        <v>8</v>
      </c>
      <c r="F323" s="16" t="s">
        <v>60</v>
      </c>
      <c r="G323" s="16" t="s">
        <v>61</v>
      </c>
      <c r="H323" s="16">
        <v>2</v>
      </c>
      <c r="I323" s="16">
        <v>239.4</v>
      </c>
      <c r="J323" s="16">
        <v>239.7</v>
      </c>
    </row>
    <row r="324" spans="1:10" ht="13.95" customHeight="1" x14ac:dyDescent="0.3">
      <c r="A324" s="14">
        <v>46038</v>
      </c>
      <c r="B324" s="15">
        <v>46038.552777777775</v>
      </c>
      <c r="C324" s="16">
        <v>25</v>
      </c>
      <c r="D324" s="16" t="s">
        <v>66</v>
      </c>
      <c r="E324" s="16" t="s">
        <v>8</v>
      </c>
      <c r="F324" s="16" t="s">
        <v>58</v>
      </c>
      <c r="G324" s="16" t="s">
        <v>59</v>
      </c>
      <c r="H324" s="16">
        <v>3</v>
      </c>
      <c r="I324" s="16">
        <v>220.2</v>
      </c>
      <c r="J324" s="16">
        <v>220.23</v>
      </c>
    </row>
    <row r="325" spans="1:10" ht="13.95" customHeight="1" x14ac:dyDescent="0.3">
      <c r="A325" s="14">
        <v>46038</v>
      </c>
      <c r="B325" s="15">
        <v>46038.551388888889</v>
      </c>
      <c r="C325" s="16">
        <v>28</v>
      </c>
      <c r="D325" s="16" t="s">
        <v>66</v>
      </c>
      <c r="E325" s="16" t="s">
        <v>8</v>
      </c>
      <c r="F325" s="16" t="s">
        <v>56</v>
      </c>
      <c r="G325" s="16" t="s">
        <v>57</v>
      </c>
      <c r="H325" s="16">
        <v>22</v>
      </c>
      <c r="I325" s="16">
        <v>249</v>
      </c>
      <c r="J325" s="16">
        <v>249.63</v>
      </c>
    </row>
    <row r="326" spans="1:10" ht="13.95" customHeight="1" x14ac:dyDescent="0.3">
      <c r="A326" s="14">
        <v>46038</v>
      </c>
      <c r="B326" s="15">
        <v>46038.548611111109</v>
      </c>
      <c r="C326" s="16">
        <v>26</v>
      </c>
      <c r="D326" s="16" t="s">
        <v>66</v>
      </c>
      <c r="E326" s="16" t="s">
        <v>8</v>
      </c>
      <c r="F326" s="16" t="s">
        <v>50</v>
      </c>
      <c r="G326" s="16" t="s">
        <v>51</v>
      </c>
      <c r="H326" s="16">
        <v>14</v>
      </c>
      <c r="I326" s="16">
        <v>166.2</v>
      </c>
      <c r="J326" s="16">
        <v>166.68</v>
      </c>
    </row>
    <row r="327" spans="1:10" ht="13.95" customHeight="1" x14ac:dyDescent="0.3">
      <c r="A327" s="14">
        <v>46038</v>
      </c>
      <c r="B327" s="15">
        <v>46038.54791666667</v>
      </c>
      <c r="C327" s="16">
        <v>33</v>
      </c>
      <c r="D327" s="16" t="s">
        <v>66</v>
      </c>
      <c r="E327" s="16" t="s">
        <v>8</v>
      </c>
      <c r="F327" s="16" t="s">
        <v>64</v>
      </c>
      <c r="G327" s="16" t="s">
        <v>65</v>
      </c>
      <c r="H327" s="16">
        <v>8</v>
      </c>
      <c r="I327" s="16">
        <v>249.9</v>
      </c>
      <c r="J327" s="16">
        <v>249.7</v>
      </c>
    </row>
    <row r="328" spans="1:10" ht="13.95" customHeight="1" x14ac:dyDescent="0.3">
      <c r="A328" s="14">
        <v>46038</v>
      </c>
      <c r="B328" s="15">
        <v>46038.54583333333</v>
      </c>
      <c r="C328" s="16">
        <v>20</v>
      </c>
      <c r="D328" s="16" t="s">
        <v>66</v>
      </c>
      <c r="E328" s="16" t="s">
        <v>8</v>
      </c>
      <c r="F328" s="16" t="s">
        <v>69</v>
      </c>
      <c r="G328" s="16" t="s">
        <v>51</v>
      </c>
      <c r="H328" s="16">
        <v>14</v>
      </c>
      <c r="I328" s="16">
        <v>173.4</v>
      </c>
      <c r="J328" s="16">
        <v>171.5</v>
      </c>
    </row>
    <row r="329" spans="1:10" ht="13.95" customHeight="1" x14ac:dyDescent="0.3">
      <c r="A329" s="14">
        <v>46038</v>
      </c>
      <c r="B329" s="15">
        <v>46038.54583333333</v>
      </c>
      <c r="C329" s="16">
        <v>35</v>
      </c>
      <c r="D329" s="16" t="s">
        <v>66</v>
      </c>
      <c r="E329" s="16" t="s">
        <v>8</v>
      </c>
      <c r="F329" s="16" t="s">
        <v>73</v>
      </c>
      <c r="G329" s="16" t="s">
        <v>63</v>
      </c>
      <c r="H329" s="16">
        <v>13</v>
      </c>
      <c r="I329" s="16">
        <v>284.39999999999998</v>
      </c>
      <c r="J329" s="16">
        <v>282.36</v>
      </c>
    </row>
    <row r="330" spans="1:10" ht="13.95" customHeight="1" x14ac:dyDescent="0.3">
      <c r="A330" s="14">
        <v>46038</v>
      </c>
      <c r="B330" s="15">
        <v>46038.544444444444</v>
      </c>
      <c r="C330" s="16">
        <v>25</v>
      </c>
      <c r="D330" s="16" t="s">
        <v>66</v>
      </c>
      <c r="E330" s="16" t="s">
        <v>8</v>
      </c>
      <c r="F330" s="16" t="s">
        <v>58</v>
      </c>
      <c r="G330" s="16" t="s">
        <v>59</v>
      </c>
      <c r="H330" s="16">
        <v>3</v>
      </c>
      <c r="I330" s="16">
        <v>220.2</v>
      </c>
      <c r="J330" s="16">
        <v>220.22</v>
      </c>
    </row>
    <row r="331" spans="1:10" ht="13.95" customHeight="1" x14ac:dyDescent="0.3">
      <c r="A331" s="14">
        <v>46038</v>
      </c>
      <c r="B331" s="15">
        <v>46038.541666666664</v>
      </c>
      <c r="C331" s="16">
        <v>24</v>
      </c>
      <c r="D331" s="16" t="s">
        <v>66</v>
      </c>
      <c r="E331" s="16" t="s">
        <v>8</v>
      </c>
      <c r="F331" s="16" t="s">
        <v>56</v>
      </c>
      <c r="G331" s="16" t="s">
        <v>57</v>
      </c>
      <c r="H331" s="16">
        <v>22</v>
      </c>
      <c r="I331" s="16">
        <v>249</v>
      </c>
      <c r="J331" s="16">
        <v>248.96</v>
      </c>
    </row>
    <row r="332" spans="1:10" ht="13.95" customHeight="1" x14ac:dyDescent="0.3">
      <c r="A332" s="14">
        <v>46038</v>
      </c>
      <c r="B332" s="15">
        <v>46038.524305555555</v>
      </c>
      <c r="C332" s="16">
        <v>9</v>
      </c>
      <c r="D332" s="16" t="s">
        <v>66</v>
      </c>
      <c r="E332" s="16" t="s">
        <v>8</v>
      </c>
      <c r="F332" s="16" t="s">
        <v>50</v>
      </c>
      <c r="G332" s="16" t="s">
        <v>51</v>
      </c>
      <c r="H332" s="16">
        <v>14</v>
      </c>
      <c r="I332" s="16">
        <v>166.2</v>
      </c>
      <c r="J332" s="16">
        <v>166.72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AB59-5E68-46F9-B015-8C34C01EFF44}">
  <dimension ref="A1:D22"/>
  <sheetViews>
    <sheetView workbookViewId="0">
      <selection sqref="A1:D22"/>
    </sheetView>
  </sheetViews>
  <sheetFormatPr defaultRowHeight="14.4" x14ac:dyDescent="0.3"/>
  <cols>
    <col min="2" max="2" width="16.21875" bestFit="1" customWidth="1"/>
    <col min="3" max="3" width="16.77734375" bestFit="1" customWidth="1"/>
    <col min="4" max="4" width="19.21875" bestFit="1" customWidth="1"/>
  </cols>
  <sheetData>
    <row r="1" spans="1:4" x14ac:dyDescent="0.3">
      <c r="A1" s="11"/>
      <c r="B1" s="11"/>
      <c r="C1" s="11" t="s">
        <v>86</v>
      </c>
      <c r="D1" s="11"/>
    </row>
    <row r="2" spans="1:4" x14ac:dyDescent="0.3">
      <c r="A2" s="11" t="s">
        <v>87</v>
      </c>
      <c r="B2" s="11" t="s">
        <v>83</v>
      </c>
      <c r="C2" s="11" t="s">
        <v>88</v>
      </c>
      <c r="D2" s="11" t="s">
        <v>89</v>
      </c>
    </row>
    <row r="3" spans="1:4" x14ac:dyDescent="0.3">
      <c r="A3" s="12">
        <v>10</v>
      </c>
      <c r="B3" s="6" t="s">
        <v>54</v>
      </c>
      <c r="C3" s="17">
        <v>278.10000000000008</v>
      </c>
      <c r="D3" s="17">
        <v>278.79208333333332</v>
      </c>
    </row>
    <row r="4" spans="1:4" x14ac:dyDescent="0.3">
      <c r="A4" s="12">
        <v>19</v>
      </c>
      <c r="B4" s="6" t="s">
        <v>79</v>
      </c>
      <c r="C4" s="17">
        <v>327.3</v>
      </c>
      <c r="D4" s="17">
        <v>329.85</v>
      </c>
    </row>
    <row r="5" spans="1:4" x14ac:dyDescent="0.3">
      <c r="A5" s="12">
        <v>20</v>
      </c>
      <c r="B5" s="6" t="s">
        <v>69</v>
      </c>
      <c r="C5" s="17">
        <v>173.40000000000006</v>
      </c>
      <c r="D5" s="17">
        <v>172.96956521739131</v>
      </c>
    </row>
    <row r="6" spans="1:4" x14ac:dyDescent="0.3">
      <c r="A6" s="12">
        <v>25</v>
      </c>
      <c r="B6" s="6" t="s">
        <v>58</v>
      </c>
      <c r="C6" s="17">
        <v>220.19999999999987</v>
      </c>
      <c r="D6" s="17">
        <v>220.42555555555555</v>
      </c>
    </row>
    <row r="7" spans="1:4" x14ac:dyDescent="0.3">
      <c r="A7" s="12">
        <v>26</v>
      </c>
      <c r="B7" s="6" t="s">
        <v>50</v>
      </c>
      <c r="C7" s="17">
        <v>166.19999999999993</v>
      </c>
      <c r="D7" s="17">
        <v>166.8411111111111</v>
      </c>
    </row>
    <row r="8" spans="1:4" x14ac:dyDescent="0.3">
      <c r="A8" s="12">
        <v>27</v>
      </c>
      <c r="B8" s="6" t="s">
        <v>60</v>
      </c>
      <c r="C8" s="17">
        <v>239.39999999999992</v>
      </c>
      <c r="D8" s="17">
        <v>239.5504</v>
      </c>
    </row>
    <row r="9" spans="1:4" x14ac:dyDescent="0.3">
      <c r="A9" s="12">
        <v>28</v>
      </c>
      <c r="B9" s="6" t="s">
        <v>56</v>
      </c>
      <c r="C9" s="17">
        <v>249</v>
      </c>
      <c r="D9" s="17">
        <v>249.32047619047617</v>
      </c>
    </row>
    <row r="10" spans="1:4" x14ac:dyDescent="0.3">
      <c r="A10" s="12">
        <v>33</v>
      </c>
      <c r="B10" s="6" t="s">
        <v>64</v>
      </c>
      <c r="C10" s="17">
        <v>249.89999999999989</v>
      </c>
      <c r="D10" s="17">
        <v>249.96333333333334</v>
      </c>
    </row>
    <row r="11" spans="1:4" x14ac:dyDescent="0.3">
      <c r="A11" s="12">
        <v>34</v>
      </c>
      <c r="B11" s="6" t="s">
        <v>71</v>
      </c>
      <c r="C11" s="17">
        <v>229.2</v>
      </c>
      <c r="D11" s="17">
        <v>248.45</v>
      </c>
    </row>
    <row r="12" spans="1:4" x14ac:dyDescent="0.3">
      <c r="A12" s="12"/>
      <c r="B12" s="6" t="s">
        <v>78</v>
      </c>
      <c r="C12" s="17">
        <v>248</v>
      </c>
      <c r="D12" s="17">
        <v>249.05</v>
      </c>
    </row>
    <row r="13" spans="1:4" x14ac:dyDescent="0.3">
      <c r="A13" s="12">
        <v>35</v>
      </c>
      <c r="B13" s="6" t="s">
        <v>62</v>
      </c>
      <c r="C13" s="17">
        <v>282.89999999999998</v>
      </c>
      <c r="D13" s="17">
        <v>283.33333333333331</v>
      </c>
    </row>
    <row r="14" spans="1:4" x14ac:dyDescent="0.3">
      <c r="A14" s="12"/>
      <c r="B14" s="6" t="s">
        <v>73</v>
      </c>
      <c r="C14" s="17">
        <v>284.39999999999998</v>
      </c>
      <c r="D14" s="17">
        <v>282.98149999999998</v>
      </c>
    </row>
    <row r="15" spans="1:4" x14ac:dyDescent="0.3">
      <c r="A15" s="12">
        <v>36</v>
      </c>
      <c r="B15" s="6" t="s">
        <v>72</v>
      </c>
      <c r="C15" s="17">
        <v>166.8</v>
      </c>
      <c r="D15" s="17">
        <v>166.86187500000003</v>
      </c>
    </row>
    <row r="16" spans="1:4" x14ac:dyDescent="0.3">
      <c r="A16" s="12">
        <v>37</v>
      </c>
      <c r="B16" s="6" t="s">
        <v>52</v>
      </c>
      <c r="C16" s="17">
        <v>277.80000000000007</v>
      </c>
      <c r="D16" s="17">
        <v>281.92636363636365</v>
      </c>
    </row>
    <row r="17" spans="1:4" x14ac:dyDescent="0.3">
      <c r="A17" s="12">
        <v>38</v>
      </c>
      <c r="B17" s="6" t="s">
        <v>52</v>
      </c>
      <c r="C17" s="17">
        <v>277.80000000000007</v>
      </c>
      <c r="D17" s="17">
        <v>277.87058823529412</v>
      </c>
    </row>
    <row r="18" spans="1:4" x14ac:dyDescent="0.3">
      <c r="A18" s="12"/>
      <c r="B18" s="6" t="s">
        <v>76</v>
      </c>
      <c r="C18" s="17">
        <v>289.8</v>
      </c>
      <c r="D18" s="17">
        <v>291</v>
      </c>
    </row>
    <row r="19" spans="1:4" x14ac:dyDescent="0.3">
      <c r="A19" s="12">
        <v>16</v>
      </c>
      <c r="B19" s="6" t="s">
        <v>74</v>
      </c>
      <c r="C19" s="17">
        <v>269.76</v>
      </c>
      <c r="D19" s="17">
        <v>165.50333333333333</v>
      </c>
    </row>
    <row r="20" spans="1:4" x14ac:dyDescent="0.3">
      <c r="A20" s="12">
        <v>24</v>
      </c>
      <c r="B20" s="6" t="s">
        <v>56</v>
      </c>
      <c r="C20" s="17">
        <v>249</v>
      </c>
      <c r="D20" s="17">
        <v>249.26551724137931</v>
      </c>
    </row>
    <row r="21" spans="1:4" x14ac:dyDescent="0.3">
      <c r="A21" s="12">
        <v>9</v>
      </c>
      <c r="B21" s="6" t="s">
        <v>50</v>
      </c>
      <c r="C21" s="17">
        <v>166.2</v>
      </c>
      <c r="D21" s="17">
        <v>166.66800000000003</v>
      </c>
    </row>
    <row r="22" spans="1:4" x14ac:dyDescent="0.3">
      <c r="A22" s="11" t="s">
        <v>49</v>
      </c>
      <c r="B22" s="11"/>
      <c r="C22" s="18">
        <v>232.39723684210603</v>
      </c>
      <c r="D22" s="18">
        <v>230.87467105263161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376A-ECE8-43BB-83F8-2F265B07E949}">
  <dimension ref="A1:K96"/>
  <sheetViews>
    <sheetView workbookViewId="0">
      <selection activeCell="K2" sqref="K2"/>
    </sheetView>
  </sheetViews>
  <sheetFormatPr defaultRowHeight="14.4" x14ac:dyDescent="0.3"/>
  <cols>
    <col min="1" max="1" width="10.44140625" bestFit="1" customWidth="1"/>
    <col min="2" max="2" width="15.5546875" bestFit="1" customWidth="1"/>
    <col min="6" max="6" width="18.21875" customWidth="1"/>
  </cols>
  <sheetData>
    <row r="1" spans="1:11" x14ac:dyDescent="0.3">
      <c r="A1" t="s">
        <v>94</v>
      </c>
      <c r="B1" t="s">
        <v>81</v>
      </c>
      <c r="C1" t="s">
        <v>87</v>
      </c>
      <c r="D1" t="s">
        <v>18</v>
      </c>
      <c r="E1" t="s">
        <v>19</v>
      </c>
      <c r="F1" t="s">
        <v>83</v>
      </c>
      <c r="G1" t="s">
        <v>25</v>
      </c>
      <c r="H1" t="s">
        <v>95</v>
      </c>
      <c r="I1" t="s">
        <v>96</v>
      </c>
      <c r="J1" t="s">
        <v>97</v>
      </c>
      <c r="K1" t="s">
        <v>98</v>
      </c>
    </row>
    <row r="2" spans="1:11" ht="15.45" customHeight="1" x14ac:dyDescent="0.3">
      <c r="A2" s="14">
        <v>46036</v>
      </c>
      <c r="B2" s="15">
        <v>46036.345833333333</v>
      </c>
      <c r="C2" s="16">
        <v>38</v>
      </c>
      <c r="D2" s="16" t="s">
        <v>66</v>
      </c>
      <c r="E2" s="16" t="s">
        <v>8</v>
      </c>
      <c r="F2" s="16" t="s">
        <v>52</v>
      </c>
      <c r="G2" s="16" t="s">
        <v>53</v>
      </c>
      <c r="H2" s="16">
        <v>5</v>
      </c>
      <c r="I2" s="16">
        <v>0.90600000000000003</v>
      </c>
      <c r="J2" s="16">
        <v>0</v>
      </c>
      <c r="K2" s="16">
        <v>2.1000000000000001E-2</v>
      </c>
    </row>
    <row r="3" spans="1:11" ht="15.45" customHeight="1" x14ac:dyDescent="0.3">
      <c r="A3" s="14">
        <v>46036</v>
      </c>
      <c r="B3" s="15">
        <v>46036.343055555553</v>
      </c>
      <c r="C3" s="16">
        <v>10</v>
      </c>
      <c r="D3" s="16" t="s">
        <v>66</v>
      </c>
      <c r="E3" s="16" t="s">
        <v>8</v>
      </c>
      <c r="F3" s="16" t="s">
        <v>67</v>
      </c>
      <c r="G3" s="16" t="s">
        <v>68</v>
      </c>
      <c r="H3" s="16">
        <v>10</v>
      </c>
      <c r="I3" s="16">
        <v>0.95699999999999996</v>
      </c>
      <c r="J3" s="16">
        <v>0</v>
      </c>
      <c r="K3" s="16">
        <v>1.4999999999999999E-2</v>
      </c>
    </row>
    <row r="4" spans="1:11" ht="15.45" customHeight="1" x14ac:dyDescent="0.3">
      <c r="A4" s="14">
        <v>46036</v>
      </c>
      <c r="B4" s="15">
        <v>46036.34097222222</v>
      </c>
      <c r="C4" s="16">
        <v>27</v>
      </c>
      <c r="D4" s="16" t="s">
        <v>66</v>
      </c>
      <c r="E4" s="16" t="s">
        <v>8</v>
      </c>
      <c r="F4" s="16" t="s">
        <v>60</v>
      </c>
      <c r="G4" s="16" t="s">
        <v>61</v>
      </c>
      <c r="H4" s="16">
        <v>1</v>
      </c>
      <c r="I4" s="16">
        <v>0.81899999999999995</v>
      </c>
      <c r="J4" s="16">
        <v>0</v>
      </c>
      <c r="K4" s="16">
        <v>2.3E-2</v>
      </c>
    </row>
    <row r="5" spans="1:11" ht="15.45" customHeight="1" x14ac:dyDescent="0.3">
      <c r="A5" s="14">
        <v>46036</v>
      </c>
      <c r="B5" s="15">
        <v>46036.339583333334</v>
      </c>
      <c r="C5" s="16">
        <v>10</v>
      </c>
      <c r="D5" s="16" t="s">
        <v>66</v>
      </c>
      <c r="E5" s="16" t="s">
        <v>8</v>
      </c>
      <c r="F5" s="16" t="s">
        <v>67</v>
      </c>
      <c r="G5" s="16" t="s">
        <v>68</v>
      </c>
      <c r="H5" s="16">
        <v>10</v>
      </c>
      <c r="I5" s="16">
        <v>0.94199999999999995</v>
      </c>
      <c r="J5" s="16">
        <v>0</v>
      </c>
      <c r="K5" s="16">
        <v>2.5999999999999999E-2</v>
      </c>
    </row>
    <row r="6" spans="1:11" ht="15.45" customHeight="1" x14ac:dyDescent="0.3">
      <c r="A6" s="14">
        <v>46036</v>
      </c>
      <c r="B6" s="15">
        <v>46036.338194444441</v>
      </c>
      <c r="C6" s="16">
        <v>27</v>
      </c>
      <c r="D6" s="16" t="s">
        <v>66</v>
      </c>
      <c r="E6" s="16" t="s">
        <v>8</v>
      </c>
      <c r="F6" s="16" t="s">
        <v>60</v>
      </c>
      <c r="G6" s="16" t="s">
        <v>61</v>
      </c>
      <c r="H6" s="16">
        <v>1</v>
      </c>
      <c r="I6" s="16">
        <v>0.80300000000000005</v>
      </c>
      <c r="J6" s="16">
        <v>0</v>
      </c>
      <c r="K6" s="16">
        <v>0.02</v>
      </c>
    </row>
    <row r="7" spans="1:11" ht="15.45" customHeight="1" x14ac:dyDescent="0.3">
      <c r="A7" s="14">
        <v>46036</v>
      </c>
      <c r="B7" s="15">
        <v>46036.336805555555</v>
      </c>
      <c r="C7" s="16">
        <v>24</v>
      </c>
      <c r="D7" s="16" t="s">
        <v>66</v>
      </c>
      <c r="E7" s="16" t="s">
        <v>8</v>
      </c>
      <c r="F7" s="16" t="s">
        <v>56</v>
      </c>
      <c r="G7" s="16" t="s">
        <v>57</v>
      </c>
      <c r="H7" s="16">
        <v>20</v>
      </c>
      <c r="I7" s="16">
        <v>0.83399999999999996</v>
      </c>
      <c r="J7" s="16">
        <v>0</v>
      </c>
      <c r="K7" s="16">
        <v>1.7999999999999999E-2</v>
      </c>
    </row>
    <row r="8" spans="1:11" ht="15.45" customHeight="1" x14ac:dyDescent="0.3">
      <c r="A8" s="14">
        <v>46036</v>
      </c>
      <c r="B8" s="15">
        <v>46036.336111111108</v>
      </c>
      <c r="C8" s="16">
        <v>33</v>
      </c>
      <c r="D8" s="16" t="s">
        <v>66</v>
      </c>
      <c r="E8" s="16" t="s">
        <v>8</v>
      </c>
      <c r="F8" s="16" t="s">
        <v>64</v>
      </c>
      <c r="G8" s="16" t="s">
        <v>65</v>
      </c>
      <c r="H8" s="16">
        <v>6</v>
      </c>
      <c r="I8" s="16">
        <v>0.82599999999999996</v>
      </c>
      <c r="J8" s="16">
        <v>0</v>
      </c>
      <c r="K8" s="16">
        <v>2.5000000000000001E-2</v>
      </c>
    </row>
    <row r="9" spans="1:11" ht="15.45" customHeight="1" x14ac:dyDescent="0.3">
      <c r="A9" s="14">
        <v>46036</v>
      </c>
      <c r="B9" s="15">
        <v>46036.320833333331</v>
      </c>
      <c r="C9" s="16">
        <v>20</v>
      </c>
      <c r="D9" s="16" t="s">
        <v>66</v>
      </c>
      <c r="E9" s="16" t="s">
        <v>8</v>
      </c>
      <c r="F9" s="16" t="s">
        <v>69</v>
      </c>
      <c r="G9" s="16" t="s">
        <v>51</v>
      </c>
      <c r="H9" s="16">
        <v>12</v>
      </c>
      <c r="I9" s="16">
        <v>0.57399999999999995</v>
      </c>
      <c r="J9" s="16">
        <v>0</v>
      </c>
      <c r="K9" s="16">
        <v>1.7000000000000001E-2</v>
      </c>
    </row>
    <row r="10" spans="1:11" ht="15.45" customHeight="1" x14ac:dyDescent="0.3">
      <c r="A10" s="14">
        <v>46036</v>
      </c>
      <c r="B10" s="15">
        <v>46036.319444444445</v>
      </c>
      <c r="C10" s="16">
        <v>9</v>
      </c>
      <c r="D10" s="16" t="s">
        <v>66</v>
      </c>
      <c r="E10" s="16" t="s">
        <v>8</v>
      </c>
      <c r="F10" s="16" t="s">
        <v>50</v>
      </c>
      <c r="G10" s="16" t="s">
        <v>51</v>
      </c>
      <c r="H10" s="16">
        <v>12</v>
      </c>
      <c r="I10" s="16">
        <v>0.55200000000000005</v>
      </c>
      <c r="J10" s="16">
        <v>0</v>
      </c>
      <c r="K10" s="16">
        <v>1.7999999999999999E-2</v>
      </c>
    </row>
    <row r="11" spans="1:11" ht="15.45" customHeight="1" x14ac:dyDescent="0.3">
      <c r="A11" s="14">
        <v>46036</v>
      </c>
      <c r="B11" s="15">
        <v>46036.318749999999</v>
      </c>
      <c r="C11" s="16">
        <v>26</v>
      </c>
      <c r="D11" s="16" t="s">
        <v>66</v>
      </c>
      <c r="E11" s="16" t="s">
        <v>8</v>
      </c>
      <c r="F11" s="16" t="s">
        <v>50</v>
      </c>
      <c r="G11" s="16" t="s">
        <v>51</v>
      </c>
      <c r="H11" s="16">
        <v>12</v>
      </c>
      <c r="I11" s="16">
        <v>0.55900000000000005</v>
      </c>
      <c r="J11" s="16">
        <v>0</v>
      </c>
      <c r="K11" s="16">
        <v>1.4999999999999999E-2</v>
      </c>
    </row>
    <row r="12" spans="1:11" ht="15.45" customHeight="1" x14ac:dyDescent="0.3">
      <c r="A12" s="14">
        <v>46036</v>
      </c>
      <c r="B12" s="15">
        <v>46036.31527777778</v>
      </c>
      <c r="C12" s="16">
        <v>26</v>
      </c>
      <c r="D12" s="16" t="s">
        <v>66</v>
      </c>
      <c r="E12" s="16" t="s">
        <v>8</v>
      </c>
      <c r="F12" s="16" t="s">
        <v>50</v>
      </c>
      <c r="G12" s="16" t="s">
        <v>51</v>
      </c>
      <c r="H12" s="16">
        <v>12</v>
      </c>
      <c r="I12" s="16">
        <v>0.56299999999999994</v>
      </c>
      <c r="J12" s="16">
        <v>0</v>
      </c>
      <c r="K12" s="16">
        <v>1.0999999999999999E-2</v>
      </c>
    </row>
    <row r="13" spans="1:11" ht="15.45" customHeight="1" x14ac:dyDescent="0.3">
      <c r="A13" s="14">
        <v>46036</v>
      </c>
      <c r="B13" s="15">
        <v>46036.313888888886</v>
      </c>
      <c r="C13" s="16">
        <v>25</v>
      </c>
      <c r="D13" s="16" t="s">
        <v>66</v>
      </c>
      <c r="E13" s="16" t="s">
        <v>8</v>
      </c>
      <c r="F13" s="16" t="s">
        <v>58</v>
      </c>
      <c r="G13" s="16" t="s">
        <v>59</v>
      </c>
      <c r="H13" s="16">
        <v>2</v>
      </c>
      <c r="I13" s="16">
        <v>0.70699999999999996</v>
      </c>
      <c r="J13" s="16">
        <v>0.02</v>
      </c>
      <c r="K13" s="16">
        <v>1.7999999999999999E-2</v>
      </c>
    </row>
    <row r="14" spans="1:11" ht="15.45" customHeight="1" x14ac:dyDescent="0.3">
      <c r="A14" s="14">
        <v>46036</v>
      </c>
      <c r="B14" s="15">
        <v>46036.3125</v>
      </c>
      <c r="C14" s="16">
        <v>25</v>
      </c>
      <c r="D14" s="16" t="s">
        <v>66</v>
      </c>
      <c r="E14" s="16" t="s">
        <v>8</v>
      </c>
      <c r="F14" s="16" t="s">
        <v>58</v>
      </c>
      <c r="G14" s="16" t="s">
        <v>59</v>
      </c>
      <c r="H14" s="16">
        <v>2</v>
      </c>
      <c r="I14" s="16">
        <v>0.70199999999999996</v>
      </c>
      <c r="J14" s="16">
        <v>0.02</v>
      </c>
      <c r="K14" s="16">
        <v>1.0999999999999999E-2</v>
      </c>
    </row>
    <row r="15" spans="1:11" ht="15.45" customHeight="1" x14ac:dyDescent="0.3">
      <c r="A15" s="14">
        <v>46036</v>
      </c>
      <c r="B15" s="15">
        <v>46036.311111111114</v>
      </c>
      <c r="C15" s="16">
        <v>11</v>
      </c>
      <c r="D15" s="16" t="s">
        <v>66</v>
      </c>
      <c r="E15" s="16" t="s">
        <v>8</v>
      </c>
      <c r="F15" s="16" t="s">
        <v>50</v>
      </c>
      <c r="G15" s="16" t="s">
        <v>51</v>
      </c>
      <c r="H15" s="16">
        <v>12</v>
      </c>
      <c r="I15" s="16">
        <v>0.56799999999999995</v>
      </c>
      <c r="J15" s="16">
        <v>0</v>
      </c>
      <c r="K15" s="16">
        <v>1.7000000000000001E-2</v>
      </c>
    </row>
    <row r="16" spans="1:11" ht="15.45" customHeight="1" x14ac:dyDescent="0.3">
      <c r="A16" s="14">
        <v>46036</v>
      </c>
      <c r="B16" s="15">
        <v>46036.305555555555</v>
      </c>
      <c r="C16" s="16">
        <v>11</v>
      </c>
      <c r="D16" s="16" t="s">
        <v>66</v>
      </c>
      <c r="E16" s="16" t="s">
        <v>8</v>
      </c>
      <c r="F16" s="16" t="s">
        <v>50</v>
      </c>
      <c r="G16" s="16" t="s">
        <v>51</v>
      </c>
      <c r="H16" s="16">
        <v>12</v>
      </c>
      <c r="I16" s="16">
        <v>0.58699999999999997</v>
      </c>
      <c r="J16" s="16">
        <v>0</v>
      </c>
      <c r="K16" s="16">
        <v>1.7000000000000001E-2</v>
      </c>
    </row>
    <row r="17" spans="1:11" ht="15.45" customHeight="1" x14ac:dyDescent="0.3">
      <c r="A17" s="14">
        <v>46036</v>
      </c>
      <c r="B17" s="15">
        <v>46036.304166666669</v>
      </c>
      <c r="C17" s="16">
        <v>36</v>
      </c>
      <c r="D17" s="16" t="s">
        <v>66</v>
      </c>
      <c r="E17" s="16" t="s">
        <v>8</v>
      </c>
      <c r="F17" s="16" t="s">
        <v>72</v>
      </c>
      <c r="G17" s="16" t="s">
        <v>51</v>
      </c>
      <c r="H17" s="16">
        <v>12</v>
      </c>
      <c r="I17" s="16">
        <v>0.57699999999999996</v>
      </c>
      <c r="J17" s="16">
        <v>0</v>
      </c>
      <c r="K17" s="16">
        <v>1.2E-2</v>
      </c>
    </row>
    <row r="18" spans="1:11" ht="15.45" customHeight="1" x14ac:dyDescent="0.3">
      <c r="A18" s="14">
        <v>46036</v>
      </c>
      <c r="B18" s="15">
        <v>46036.304166666669</v>
      </c>
      <c r="C18" s="16">
        <v>20</v>
      </c>
      <c r="D18" s="16" t="s">
        <v>66</v>
      </c>
      <c r="E18" s="16" t="s">
        <v>8</v>
      </c>
      <c r="F18" s="16" t="s">
        <v>69</v>
      </c>
      <c r="G18" s="16" t="s">
        <v>51</v>
      </c>
      <c r="H18" s="16">
        <v>12</v>
      </c>
      <c r="I18" s="16">
        <v>0.55400000000000005</v>
      </c>
      <c r="J18" s="16">
        <v>0</v>
      </c>
      <c r="K18" s="16">
        <v>1.2E-2</v>
      </c>
    </row>
    <row r="19" spans="1:11" ht="15.45" customHeight="1" x14ac:dyDescent="0.3">
      <c r="A19" s="14">
        <v>46036</v>
      </c>
      <c r="B19" s="15">
        <v>46036.302777777775</v>
      </c>
      <c r="C19" s="16">
        <v>24</v>
      </c>
      <c r="D19" s="16" t="s">
        <v>66</v>
      </c>
      <c r="E19" s="16" t="s">
        <v>8</v>
      </c>
      <c r="F19" s="16" t="s">
        <v>56</v>
      </c>
      <c r="G19" s="16" t="s">
        <v>57</v>
      </c>
      <c r="H19" s="16">
        <v>20</v>
      </c>
      <c r="I19" s="16">
        <v>0.83899999999999997</v>
      </c>
      <c r="J19" s="16">
        <v>0</v>
      </c>
      <c r="K19" s="16">
        <v>2.5999999999999999E-2</v>
      </c>
    </row>
    <row r="20" spans="1:11" ht="15.45" customHeight="1" x14ac:dyDescent="0.3">
      <c r="A20" s="14">
        <v>46036</v>
      </c>
      <c r="B20" s="15">
        <v>46036.293055555558</v>
      </c>
      <c r="C20" s="16">
        <v>33</v>
      </c>
      <c r="D20" s="16" t="s">
        <v>66</v>
      </c>
      <c r="E20" s="16" t="s">
        <v>8</v>
      </c>
      <c r="F20" s="16" t="s">
        <v>64</v>
      </c>
      <c r="G20" s="16" t="s">
        <v>65</v>
      </c>
      <c r="H20" s="16">
        <v>6</v>
      </c>
      <c r="I20" s="16">
        <v>0.82899999999999996</v>
      </c>
      <c r="J20" s="16">
        <v>0</v>
      </c>
      <c r="K20" s="16">
        <v>1.9E-2</v>
      </c>
    </row>
    <row r="21" spans="1:11" ht="15.45" customHeight="1" x14ac:dyDescent="0.3">
      <c r="A21" s="14">
        <v>46036</v>
      </c>
      <c r="B21" s="15">
        <v>46036.292361111111</v>
      </c>
      <c r="C21" s="16">
        <v>27</v>
      </c>
      <c r="D21" s="16" t="s">
        <v>66</v>
      </c>
      <c r="E21" s="16" t="s">
        <v>8</v>
      </c>
      <c r="F21" s="16" t="s">
        <v>60</v>
      </c>
      <c r="G21" s="16" t="s">
        <v>61</v>
      </c>
      <c r="H21" s="16">
        <v>1</v>
      </c>
      <c r="I21" s="16">
        <v>0.81699999999999995</v>
      </c>
      <c r="J21" s="16">
        <v>0</v>
      </c>
      <c r="K21" s="16">
        <v>1.6E-2</v>
      </c>
    </row>
    <row r="22" spans="1:11" ht="15.45" customHeight="1" x14ac:dyDescent="0.3">
      <c r="A22" s="14">
        <v>46036</v>
      </c>
      <c r="B22" s="15">
        <v>46036.290972222225</v>
      </c>
      <c r="C22" s="16">
        <v>38</v>
      </c>
      <c r="D22" s="16" t="s">
        <v>66</v>
      </c>
      <c r="E22" s="16" t="s">
        <v>8</v>
      </c>
      <c r="F22" s="16" t="s">
        <v>52</v>
      </c>
      <c r="G22" s="16" t="s">
        <v>53</v>
      </c>
      <c r="H22" s="16">
        <v>5</v>
      </c>
      <c r="I22" s="16">
        <v>0.90700000000000003</v>
      </c>
      <c r="J22" s="16">
        <v>0</v>
      </c>
      <c r="K22" s="16">
        <v>1.9E-2</v>
      </c>
    </row>
    <row r="23" spans="1:11" ht="15.45" customHeight="1" x14ac:dyDescent="0.3">
      <c r="A23" s="14">
        <v>46036</v>
      </c>
      <c r="B23" s="15">
        <v>46036.289583333331</v>
      </c>
      <c r="C23" s="16">
        <v>27</v>
      </c>
      <c r="D23" s="16" t="s">
        <v>66</v>
      </c>
      <c r="E23" s="16" t="s">
        <v>8</v>
      </c>
      <c r="F23" s="16" t="s">
        <v>60</v>
      </c>
      <c r="G23" s="16" t="s">
        <v>61</v>
      </c>
      <c r="H23" s="16">
        <v>1</v>
      </c>
      <c r="I23" s="16">
        <v>0.79600000000000004</v>
      </c>
      <c r="J23" s="16">
        <v>0</v>
      </c>
      <c r="K23" s="16">
        <v>2.8000000000000001E-2</v>
      </c>
    </row>
    <row r="24" spans="1:11" ht="15.45" customHeight="1" x14ac:dyDescent="0.3">
      <c r="A24" s="14">
        <v>46036</v>
      </c>
      <c r="B24" s="15">
        <v>46036.288888888892</v>
      </c>
      <c r="C24" s="16">
        <v>10</v>
      </c>
      <c r="D24" s="16" t="s">
        <v>66</v>
      </c>
      <c r="E24" s="16" t="s">
        <v>8</v>
      </c>
      <c r="F24" s="16" t="s">
        <v>67</v>
      </c>
      <c r="G24" s="16" t="s">
        <v>68</v>
      </c>
      <c r="H24" s="16">
        <v>10</v>
      </c>
      <c r="I24" s="16">
        <v>0.95599999999999996</v>
      </c>
      <c r="J24" s="16">
        <v>0</v>
      </c>
      <c r="K24" s="16">
        <v>2.1999999999999999E-2</v>
      </c>
    </row>
    <row r="25" spans="1:11" ht="15.45" customHeight="1" x14ac:dyDescent="0.3">
      <c r="A25" s="14">
        <v>46036</v>
      </c>
      <c r="B25" s="15">
        <v>46036.288194444445</v>
      </c>
      <c r="C25" s="16">
        <v>38</v>
      </c>
      <c r="D25" s="16" t="s">
        <v>66</v>
      </c>
      <c r="E25" s="16" t="s">
        <v>8</v>
      </c>
      <c r="F25" s="16" t="s">
        <v>52</v>
      </c>
      <c r="G25" s="16" t="s">
        <v>53</v>
      </c>
      <c r="H25" s="16">
        <v>5</v>
      </c>
      <c r="I25" s="16">
        <v>0.89300000000000002</v>
      </c>
      <c r="J25" s="16">
        <v>0</v>
      </c>
      <c r="K25" s="16">
        <v>2.3E-2</v>
      </c>
    </row>
    <row r="26" spans="1:11" ht="15.45" customHeight="1" x14ac:dyDescent="0.3">
      <c r="A26" s="14">
        <v>46036</v>
      </c>
      <c r="B26" s="15">
        <v>46036.287499999999</v>
      </c>
      <c r="C26" s="16">
        <v>27</v>
      </c>
      <c r="D26" s="16" t="s">
        <v>66</v>
      </c>
      <c r="E26" s="16" t="s">
        <v>8</v>
      </c>
      <c r="F26" s="16" t="s">
        <v>60</v>
      </c>
      <c r="G26" s="16" t="s">
        <v>61</v>
      </c>
      <c r="H26" s="16">
        <v>1</v>
      </c>
      <c r="I26" s="16">
        <v>0.79800000000000004</v>
      </c>
      <c r="J26" s="16">
        <v>0</v>
      </c>
      <c r="K26" s="16">
        <v>1.9E-2</v>
      </c>
    </row>
    <row r="27" spans="1:11" ht="15.45" customHeight="1" x14ac:dyDescent="0.3">
      <c r="A27" s="14">
        <v>46036</v>
      </c>
      <c r="B27" s="15">
        <v>46036.286805555559</v>
      </c>
      <c r="C27" s="16">
        <v>10</v>
      </c>
      <c r="D27" s="16" t="s">
        <v>66</v>
      </c>
      <c r="E27" s="16" t="s">
        <v>8</v>
      </c>
      <c r="F27" s="16" t="s">
        <v>67</v>
      </c>
      <c r="G27" s="16" t="s">
        <v>68</v>
      </c>
      <c r="H27" s="16">
        <v>10</v>
      </c>
      <c r="I27" s="16">
        <v>0.94899999999999995</v>
      </c>
      <c r="J27" s="16">
        <v>0</v>
      </c>
      <c r="K27" s="16">
        <v>2.4E-2</v>
      </c>
    </row>
    <row r="28" spans="1:11" ht="15.45" customHeight="1" x14ac:dyDescent="0.3">
      <c r="A28" s="14">
        <v>46036</v>
      </c>
      <c r="B28" s="15">
        <v>46036.284722222219</v>
      </c>
      <c r="C28" s="16">
        <v>24</v>
      </c>
      <c r="D28" s="16" t="s">
        <v>66</v>
      </c>
      <c r="E28" s="16" t="s">
        <v>8</v>
      </c>
      <c r="F28" s="16" t="s">
        <v>56</v>
      </c>
      <c r="G28" s="16" t="s">
        <v>57</v>
      </c>
      <c r="H28" s="16">
        <v>20</v>
      </c>
      <c r="I28" s="16">
        <v>0.83899999999999997</v>
      </c>
      <c r="J28" s="16">
        <v>0</v>
      </c>
      <c r="K28" s="16">
        <v>1.2E-2</v>
      </c>
    </row>
    <row r="29" spans="1:11" ht="15.45" customHeight="1" x14ac:dyDescent="0.3">
      <c r="A29" s="14">
        <v>46036</v>
      </c>
      <c r="B29" s="15">
        <v>46036.28402777778</v>
      </c>
      <c r="C29" s="16">
        <v>33</v>
      </c>
      <c r="D29" s="16" t="s">
        <v>66</v>
      </c>
      <c r="E29" s="16" t="s">
        <v>8</v>
      </c>
      <c r="F29" s="16" t="s">
        <v>64</v>
      </c>
      <c r="G29" s="16" t="s">
        <v>65</v>
      </c>
      <c r="H29" s="16">
        <v>6</v>
      </c>
      <c r="I29" s="16">
        <v>0.83699999999999997</v>
      </c>
      <c r="J29" s="16">
        <v>0</v>
      </c>
      <c r="K29" s="16">
        <v>1.7999999999999999E-2</v>
      </c>
    </row>
    <row r="30" spans="1:11" ht="15.45" customHeight="1" x14ac:dyDescent="0.3">
      <c r="A30" s="14">
        <v>46036</v>
      </c>
      <c r="B30" s="15">
        <v>46036.282638888886</v>
      </c>
      <c r="C30" s="16">
        <v>9</v>
      </c>
      <c r="D30" s="16" t="s">
        <v>66</v>
      </c>
      <c r="E30" s="16" t="s">
        <v>8</v>
      </c>
      <c r="F30" s="16" t="s">
        <v>50</v>
      </c>
      <c r="G30" s="16" t="s">
        <v>51</v>
      </c>
      <c r="H30" s="16">
        <v>12</v>
      </c>
      <c r="I30" s="16">
        <v>0.55300000000000005</v>
      </c>
      <c r="J30" s="16">
        <v>0</v>
      </c>
      <c r="K30" s="16">
        <v>1.2E-2</v>
      </c>
    </row>
    <row r="31" spans="1:11" ht="15.45" customHeight="1" x14ac:dyDescent="0.3">
      <c r="A31" s="14">
        <v>46036</v>
      </c>
      <c r="B31" s="15">
        <v>46036.28125</v>
      </c>
      <c r="C31" s="16">
        <v>9</v>
      </c>
      <c r="D31" s="16" t="s">
        <v>66</v>
      </c>
      <c r="E31" s="16" t="s">
        <v>8</v>
      </c>
      <c r="F31" s="16" t="s">
        <v>50</v>
      </c>
      <c r="G31" s="16" t="s">
        <v>51</v>
      </c>
      <c r="H31" s="16">
        <v>12</v>
      </c>
      <c r="I31" s="16">
        <v>0.55600000000000005</v>
      </c>
      <c r="J31" s="16">
        <v>0</v>
      </c>
      <c r="K31" s="16">
        <v>1.7999999999999999E-2</v>
      </c>
    </row>
    <row r="32" spans="1:11" ht="15.45" customHeight="1" x14ac:dyDescent="0.3">
      <c r="A32" s="14">
        <v>46036</v>
      </c>
      <c r="B32" s="15">
        <v>46036.28125</v>
      </c>
      <c r="C32" s="16">
        <v>33</v>
      </c>
      <c r="D32" s="16" t="s">
        <v>66</v>
      </c>
      <c r="E32" s="16" t="s">
        <v>8</v>
      </c>
      <c r="F32" s="16" t="s">
        <v>64</v>
      </c>
      <c r="G32" s="16" t="s">
        <v>65</v>
      </c>
      <c r="H32" s="16">
        <v>6</v>
      </c>
      <c r="I32" s="16">
        <v>0.83399999999999996</v>
      </c>
      <c r="J32" s="16">
        <v>0</v>
      </c>
      <c r="K32" s="16">
        <v>1.9E-2</v>
      </c>
    </row>
    <row r="33" spans="1:11" ht="15.45" customHeight="1" x14ac:dyDescent="0.3">
      <c r="A33" s="14">
        <v>46036</v>
      </c>
      <c r="B33" s="15">
        <v>46036.279166666667</v>
      </c>
      <c r="C33" s="16">
        <v>25</v>
      </c>
      <c r="D33" s="16" t="s">
        <v>66</v>
      </c>
      <c r="E33" s="16" t="s">
        <v>8</v>
      </c>
      <c r="F33" s="16" t="s">
        <v>58</v>
      </c>
      <c r="G33" s="16" t="s">
        <v>59</v>
      </c>
      <c r="H33" s="16">
        <v>2</v>
      </c>
      <c r="I33" s="16">
        <v>0.71599999999999997</v>
      </c>
      <c r="J33" s="16">
        <v>0.02</v>
      </c>
      <c r="K33" s="16">
        <v>1.4999999999999999E-2</v>
      </c>
    </row>
    <row r="34" spans="1:11" ht="15.45" customHeight="1" x14ac:dyDescent="0.3">
      <c r="A34" s="14">
        <v>46038</v>
      </c>
      <c r="B34" s="15">
        <v>46039.265277777777</v>
      </c>
      <c r="C34" s="16">
        <v>24</v>
      </c>
      <c r="D34" s="16" t="s">
        <v>70</v>
      </c>
      <c r="E34" s="16" t="s">
        <v>11</v>
      </c>
      <c r="F34" s="16" t="s">
        <v>56</v>
      </c>
      <c r="G34" s="16" t="s">
        <v>57</v>
      </c>
      <c r="H34" s="16">
        <v>24</v>
      </c>
      <c r="I34" s="16">
        <v>0.83499999999999996</v>
      </c>
      <c r="J34" s="16">
        <v>0</v>
      </c>
      <c r="K34" s="16">
        <v>0.02</v>
      </c>
    </row>
    <row r="35" spans="1:11" ht="15.45" customHeight="1" x14ac:dyDescent="0.3">
      <c r="A35" s="14">
        <v>46038</v>
      </c>
      <c r="B35" s="15">
        <v>46039.262499999997</v>
      </c>
      <c r="C35" s="16">
        <v>36</v>
      </c>
      <c r="D35" s="16" t="s">
        <v>70</v>
      </c>
      <c r="E35" s="16" t="s">
        <v>11</v>
      </c>
      <c r="F35" s="16" t="s">
        <v>72</v>
      </c>
      <c r="G35" s="16" t="s">
        <v>51</v>
      </c>
      <c r="H35" s="16">
        <v>15</v>
      </c>
      <c r="I35" s="16">
        <v>0.56000000000000005</v>
      </c>
      <c r="J35" s="16">
        <v>0</v>
      </c>
      <c r="K35" s="16">
        <v>1.9E-2</v>
      </c>
    </row>
    <row r="36" spans="1:11" ht="15.45" customHeight="1" x14ac:dyDescent="0.3">
      <c r="A36" s="14">
        <v>46038</v>
      </c>
      <c r="B36" s="15">
        <v>46039.260416666664</v>
      </c>
      <c r="C36" s="16">
        <v>24</v>
      </c>
      <c r="D36" s="16" t="s">
        <v>70</v>
      </c>
      <c r="E36" s="16" t="s">
        <v>11</v>
      </c>
      <c r="F36" s="16" t="s">
        <v>56</v>
      </c>
      <c r="G36" s="16" t="s">
        <v>57</v>
      </c>
      <c r="H36" s="16">
        <v>24</v>
      </c>
      <c r="I36" s="16">
        <v>0.82599999999999996</v>
      </c>
      <c r="J36" s="16">
        <v>0</v>
      </c>
      <c r="K36" s="16">
        <v>0.02</v>
      </c>
    </row>
    <row r="37" spans="1:11" ht="15.45" customHeight="1" x14ac:dyDescent="0.3">
      <c r="A37" s="14">
        <v>46038</v>
      </c>
      <c r="B37" s="15">
        <v>46039.260416666664</v>
      </c>
      <c r="C37" s="16">
        <v>33</v>
      </c>
      <c r="D37" s="16" t="s">
        <v>70</v>
      </c>
      <c r="E37" s="16" t="s">
        <v>11</v>
      </c>
      <c r="F37" s="16" t="s">
        <v>64</v>
      </c>
      <c r="G37" s="16" t="s">
        <v>65</v>
      </c>
      <c r="H37" s="16">
        <v>9</v>
      </c>
      <c r="I37" s="16">
        <v>0.82</v>
      </c>
      <c r="J37" s="16">
        <v>0</v>
      </c>
      <c r="K37" s="16">
        <v>2.4E-2</v>
      </c>
    </row>
    <row r="38" spans="1:11" ht="15.45" customHeight="1" x14ac:dyDescent="0.3">
      <c r="A38" s="14">
        <v>46038</v>
      </c>
      <c r="B38" s="15">
        <v>46039.259027777778</v>
      </c>
      <c r="C38" s="16">
        <v>9</v>
      </c>
      <c r="D38" s="16" t="s">
        <v>70</v>
      </c>
      <c r="E38" s="16" t="s">
        <v>11</v>
      </c>
      <c r="F38" s="16" t="s">
        <v>50</v>
      </c>
      <c r="G38" s="16" t="s">
        <v>51</v>
      </c>
      <c r="H38" s="16">
        <v>15</v>
      </c>
      <c r="I38" s="16">
        <v>0.55400000000000005</v>
      </c>
      <c r="J38" s="16">
        <v>0</v>
      </c>
      <c r="K38" s="16">
        <v>1.2999999999999999E-2</v>
      </c>
    </row>
    <row r="39" spans="1:11" ht="15.45" customHeight="1" x14ac:dyDescent="0.3">
      <c r="A39" s="14">
        <v>46038</v>
      </c>
      <c r="B39" s="15">
        <v>46039.257638888892</v>
      </c>
      <c r="C39" s="16">
        <v>37</v>
      </c>
      <c r="D39" s="16" t="s">
        <v>70</v>
      </c>
      <c r="E39" s="16" t="s">
        <v>11</v>
      </c>
      <c r="F39" s="16" t="s">
        <v>52</v>
      </c>
      <c r="G39" s="16" t="s">
        <v>53</v>
      </c>
      <c r="H39" s="16">
        <v>5</v>
      </c>
      <c r="I39" s="16">
        <v>0.92900000000000005</v>
      </c>
      <c r="J39" s="16">
        <v>0</v>
      </c>
      <c r="K39" s="16">
        <v>1.7999999999999999E-2</v>
      </c>
    </row>
    <row r="40" spans="1:11" ht="15.45" customHeight="1" x14ac:dyDescent="0.3">
      <c r="A40" s="14">
        <v>46038</v>
      </c>
      <c r="B40" s="15">
        <v>46039.256944444445</v>
      </c>
      <c r="C40" s="16">
        <v>36</v>
      </c>
      <c r="D40" s="16" t="s">
        <v>70</v>
      </c>
      <c r="E40" s="16" t="s">
        <v>11</v>
      </c>
      <c r="F40" s="16" t="s">
        <v>72</v>
      </c>
      <c r="G40" s="16" t="s">
        <v>51</v>
      </c>
      <c r="H40" s="16">
        <v>15</v>
      </c>
      <c r="I40" s="16">
        <v>0.54700000000000004</v>
      </c>
      <c r="J40" s="16">
        <v>0</v>
      </c>
      <c r="K40" s="16">
        <v>2.3E-2</v>
      </c>
    </row>
    <row r="41" spans="1:11" ht="15.45" customHeight="1" x14ac:dyDescent="0.3">
      <c r="A41" s="14">
        <v>46038</v>
      </c>
      <c r="B41" s="15">
        <v>46039.254861111112</v>
      </c>
      <c r="C41" s="16">
        <v>24</v>
      </c>
      <c r="D41" s="16" t="s">
        <v>70</v>
      </c>
      <c r="E41" s="16" t="s">
        <v>11</v>
      </c>
      <c r="F41" s="16" t="s">
        <v>56</v>
      </c>
      <c r="G41" s="16" t="s">
        <v>57</v>
      </c>
      <c r="H41" s="16">
        <v>24</v>
      </c>
      <c r="I41" s="16">
        <v>0.81699999999999995</v>
      </c>
      <c r="J41" s="16">
        <v>0</v>
      </c>
      <c r="K41" s="16">
        <v>2.5999999999999999E-2</v>
      </c>
    </row>
    <row r="42" spans="1:11" ht="15.45" customHeight="1" x14ac:dyDescent="0.3">
      <c r="A42" s="14">
        <v>46038</v>
      </c>
      <c r="B42" s="15">
        <v>46039.254166666666</v>
      </c>
      <c r="C42" s="16">
        <v>34</v>
      </c>
      <c r="D42" s="16" t="s">
        <v>70</v>
      </c>
      <c r="E42" s="16" t="s">
        <v>11</v>
      </c>
      <c r="F42" s="16" t="s">
        <v>71</v>
      </c>
      <c r="G42" s="16" t="s">
        <v>61</v>
      </c>
      <c r="H42" s="16">
        <v>9</v>
      </c>
      <c r="I42" s="16">
        <v>0.82</v>
      </c>
      <c r="J42" s="16">
        <v>0</v>
      </c>
      <c r="K42" s="16">
        <v>7.0000000000000001E-3</v>
      </c>
    </row>
    <row r="43" spans="1:11" ht="15.45" customHeight="1" x14ac:dyDescent="0.3">
      <c r="A43" s="14">
        <v>46038</v>
      </c>
      <c r="B43" s="15">
        <v>46039.253472222219</v>
      </c>
      <c r="C43" s="16">
        <v>20</v>
      </c>
      <c r="D43" s="16" t="s">
        <v>70</v>
      </c>
      <c r="E43" s="16" t="s">
        <v>11</v>
      </c>
      <c r="F43" s="16" t="s">
        <v>69</v>
      </c>
      <c r="G43" s="16" t="s">
        <v>51</v>
      </c>
      <c r="H43" s="16">
        <v>15</v>
      </c>
      <c r="I43" s="16">
        <v>0.56999999999999995</v>
      </c>
      <c r="J43" s="16">
        <v>0</v>
      </c>
      <c r="K43" s="16">
        <v>1.7999999999999999E-2</v>
      </c>
    </row>
    <row r="44" spans="1:11" ht="15.45" customHeight="1" x14ac:dyDescent="0.3">
      <c r="A44" s="14">
        <v>46038</v>
      </c>
      <c r="B44" s="15">
        <v>46039.251388888886</v>
      </c>
      <c r="C44" s="16">
        <v>10</v>
      </c>
      <c r="D44" s="16" t="s">
        <v>70</v>
      </c>
      <c r="E44" s="16" t="s">
        <v>11</v>
      </c>
      <c r="F44" s="16" t="s">
        <v>54</v>
      </c>
      <c r="G44" s="16" t="s">
        <v>55</v>
      </c>
      <c r="H44" s="16">
        <v>2</v>
      </c>
      <c r="I44" s="16">
        <v>0.91300000000000003</v>
      </c>
      <c r="J44" s="16">
        <v>0</v>
      </c>
      <c r="K44" s="16">
        <v>0.02</v>
      </c>
    </row>
    <row r="45" spans="1:11" ht="15.45" customHeight="1" x14ac:dyDescent="0.3">
      <c r="A45" s="14">
        <v>46038</v>
      </c>
      <c r="B45" s="15">
        <v>46039.248611111114</v>
      </c>
      <c r="C45" s="16">
        <v>37</v>
      </c>
      <c r="D45" s="16" t="s">
        <v>70</v>
      </c>
      <c r="E45" s="16" t="s">
        <v>11</v>
      </c>
      <c r="F45" s="16" t="s">
        <v>52</v>
      </c>
      <c r="G45" s="16" t="s">
        <v>53</v>
      </c>
      <c r="H45" s="16">
        <v>5</v>
      </c>
      <c r="I45" s="16">
        <v>0.95499999999999996</v>
      </c>
      <c r="J45" s="16">
        <v>0</v>
      </c>
      <c r="K45" s="16">
        <v>1.2E-2</v>
      </c>
    </row>
    <row r="46" spans="1:11" ht="15.45" customHeight="1" x14ac:dyDescent="0.3">
      <c r="A46" s="14">
        <v>46038</v>
      </c>
      <c r="B46" s="15">
        <v>46039.246527777781</v>
      </c>
      <c r="C46" s="16">
        <v>26</v>
      </c>
      <c r="D46" s="16" t="s">
        <v>70</v>
      </c>
      <c r="E46" s="16" t="s">
        <v>11</v>
      </c>
      <c r="F46" s="16" t="s">
        <v>50</v>
      </c>
      <c r="G46" s="16" t="s">
        <v>51</v>
      </c>
      <c r="H46" s="16">
        <v>15</v>
      </c>
      <c r="I46" s="16">
        <v>0.55200000000000005</v>
      </c>
      <c r="J46" s="16">
        <v>0</v>
      </c>
      <c r="K46" s="16">
        <v>1.6E-2</v>
      </c>
    </row>
    <row r="47" spans="1:11" ht="15.45" customHeight="1" x14ac:dyDescent="0.3">
      <c r="A47" s="14">
        <v>46038</v>
      </c>
      <c r="B47" s="15">
        <v>46039.244444444441</v>
      </c>
      <c r="C47" s="16">
        <v>36</v>
      </c>
      <c r="D47" s="16" t="s">
        <v>70</v>
      </c>
      <c r="E47" s="16" t="s">
        <v>11</v>
      </c>
      <c r="F47" s="16" t="s">
        <v>72</v>
      </c>
      <c r="G47" s="16" t="s">
        <v>51</v>
      </c>
      <c r="H47" s="16">
        <v>15</v>
      </c>
      <c r="I47" s="16">
        <v>0.55300000000000005</v>
      </c>
      <c r="J47" s="16">
        <v>0</v>
      </c>
      <c r="K47" s="16">
        <v>1.2E-2</v>
      </c>
    </row>
    <row r="48" spans="1:11" ht="15.45" customHeight="1" x14ac:dyDescent="0.3">
      <c r="A48" s="14">
        <v>46038</v>
      </c>
      <c r="B48" s="15">
        <v>46039.239583333336</v>
      </c>
      <c r="C48" s="16">
        <v>25</v>
      </c>
      <c r="D48" s="16" t="s">
        <v>70</v>
      </c>
      <c r="E48" s="16" t="s">
        <v>11</v>
      </c>
      <c r="F48" s="16" t="s">
        <v>58</v>
      </c>
      <c r="G48" s="16" t="s">
        <v>59</v>
      </c>
      <c r="H48" s="16">
        <v>4</v>
      </c>
      <c r="I48" s="16">
        <v>0.81799999999999995</v>
      </c>
      <c r="J48" s="16">
        <v>0.02</v>
      </c>
      <c r="K48" s="16">
        <v>1.7000000000000001E-2</v>
      </c>
    </row>
    <row r="49" spans="1:11" ht="15.45" customHeight="1" x14ac:dyDescent="0.3">
      <c r="A49" s="14">
        <v>46038</v>
      </c>
      <c r="B49" s="15">
        <v>46039.236111111109</v>
      </c>
      <c r="C49" s="16">
        <v>25</v>
      </c>
      <c r="D49" s="16" t="s">
        <v>70</v>
      </c>
      <c r="E49" s="16" t="s">
        <v>11</v>
      </c>
      <c r="F49" s="16" t="s">
        <v>58</v>
      </c>
      <c r="G49" s="16" t="s">
        <v>59</v>
      </c>
      <c r="H49" s="16">
        <v>4</v>
      </c>
      <c r="I49" s="16">
        <v>0.73699999999999999</v>
      </c>
      <c r="J49" s="16">
        <v>0.02</v>
      </c>
      <c r="K49" s="16">
        <v>2.5999999999999999E-2</v>
      </c>
    </row>
    <row r="50" spans="1:11" ht="15.45" customHeight="1" x14ac:dyDescent="0.3">
      <c r="A50" s="14">
        <v>46038</v>
      </c>
      <c r="B50" s="15">
        <v>46039.231944444444</v>
      </c>
      <c r="C50" s="16">
        <v>37</v>
      </c>
      <c r="D50" s="16" t="s">
        <v>70</v>
      </c>
      <c r="E50" s="16" t="s">
        <v>11</v>
      </c>
      <c r="F50" s="16" t="s">
        <v>52</v>
      </c>
      <c r="G50" s="16" t="s">
        <v>53</v>
      </c>
      <c r="H50" s="16">
        <v>5</v>
      </c>
      <c r="I50" s="16">
        <v>0.95</v>
      </c>
      <c r="J50" s="16">
        <v>0</v>
      </c>
      <c r="K50" s="16">
        <v>1.7999999999999999E-2</v>
      </c>
    </row>
    <row r="51" spans="1:11" ht="15.45" customHeight="1" x14ac:dyDescent="0.3">
      <c r="A51" s="14">
        <v>46038</v>
      </c>
      <c r="B51" s="15">
        <v>46039.230555555558</v>
      </c>
      <c r="C51" s="16">
        <v>35</v>
      </c>
      <c r="D51" s="16" t="s">
        <v>70</v>
      </c>
      <c r="E51" s="16" t="s">
        <v>11</v>
      </c>
      <c r="F51" s="16" t="s">
        <v>73</v>
      </c>
      <c r="G51" s="16" t="s">
        <v>63</v>
      </c>
      <c r="H51" s="16">
        <v>14</v>
      </c>
      <c r="I51" s="16">
        <v>0.97</v>
      </c>
      <c r="J51" s="16">
        <v>0</v>
      </c>
      <c r="K51" s="16">
        <v>1.7000000000000001E-2</v>
      </c>
    </row>
    <row r="52" spans="1:11" ht="15.45" customHeight="1" x14ac:dyDescent="0.3">
      <c r="A52" s="14">
        <v>46038</v>
      </c>
      <c r="B52" s="15">
        <v>46039.230555555558</v>
      </c>
      <c r="C52" s="16">
        <v>36</v>
      </c>
      <c r="D52" s="16" t="s">
        <v>70</v>
      </c>
      <c r="E52" s="16" t="s">
        <v>11</v>
      </c>
      <c r="F52" s="16" t="s">
        <v>72</v>
      </c>
      <c r="G52" s="16" t="s">
        <v>51</v>
      </c>
      <c r="H52" s="16">
        <v>15</v>
      </c>
      <c r="I52" s="16">
        <v>0.49</v>
      </c>
      <c r="J52" s="16">
        <v>0</v>
      </c>
      <c r="K52" s="16">
        <v>0.01</v>
      </c>
    </row>
    <row r="53" spans="1:11" ht="15.45" customHeight="1" x14ac:dyDescent="0.3">
      <c r="A53" s="14">
        <v>46038</v>
      </c>
      <c r="B53" s="15">
        <v>46039.227777777778</v>
      </c>
      <c r="C53" s="16">
        <v>38</v>
      </c>
      <c r="D53" s="16" t="s">
        <v>70</v>
      </c>
      <c r="E53" s="16" t="s">
        <v>11</v>
      </c>
      <c r="F53" s="16" t="s">
        <v>76</v>
      </c>
      <c r="G53" s="16" t="s">
        <v>77</v>
      </c>
      <c r="H53" s="16">
        <v>9</v>
      </c>
      <c r="I53" s="16">
        <v>0.97699999999999998</v>
      </c>
      <c r="J53" s="16">
        <v>0</v>
      </c>
      <c r="K53" s="16">
        <v>2.1999999999999999E-2</v>
      </c>
    </row>
    <row r="54" spans="1:11" ht="15.45" customHeight="1" x14ac:dyDescent="0.3">
      <c r="A54" s="14">
        <v>46038</v>
      </c>
      <c r="B54" s="15">
        <v>46039.227083333331</v>
      </c>
      <c r="C54" s="16">
        <v>27</v>
      </c>
      <c r="D54" s="16" t="s">
        <v>70</v>
      </c>
      <c r="E54" s="16" t="s">
        <v>11</v>
      </c>
      <c r="F54" s="16" t="s">
        <v>60</v>
      </c>
      <c r="G54" s="16" t="s">
        <v>61</v>
      </c>
      <c r="H54" s="16">
        <v>2</v>
      </c>
      <c r="I54" s="16">
        <v>0.8</v>
      </c>
      <c r="J54" s="16">
        <v>0</v>
      </c>
      <c r="K54" s="16">
        <v>0.02</v>
      </c>
    </row>
    <row r="55" spans="1:11" ht="15.45" customHeight="1" x14ac:dyDescent="0.3">
      <c r="A55" s="14">
        <v>46038</v>
      </c>
      <c r="B55" s="15">
        <v>46039.224999999999</v>
      </c>
      <c r="C55" s="16">
        <v>28</v>
      </c>
      <c r="D55" s="16" t="s">
        <v>70</v>
      </c>
      <c r="E55" s="16" t="s">
        <v>11</v>
      </c>
      <c r="F55" s="16" t="s">
        <v>56</v>
      </c>
      <c r="G55" s="16" t="s">
        <v>57</v>
      </c>
      <c r="H55" s="16">
        <v>24</v>
      </c>
      <c r="I55" s="16">
        <v>0.79900000000000004</v>
      </c>
      <c r="J55" s="16">
        <v>0</v>
      </c>
      <c r="K55" s="16">
        <v>2.1000000000000001E-2</v>
      </c>
    </row>
    <row r="56" spans="1:11" ht="15.45" customHeight="1" x14ac:dyDescent="0.3">
      <c r="A56" s="14">
        <v>46038</v>
      </c>
      <c r="B56" s="15">
        <v>46039.224999999999</v>
      </c>
      <c r="C56" s="16">
        <v>34</v>
      </c>
      <c r="D56" s="16" t="s">
        <v>70</v>
      </c>
      <c r="E56" s="16" t="s">
        <v>11</v>
      </c>
      <c r="F56" s="16" t="s">
        <v>71</v>
      </c>
      <c r="G56" s="16" t="s">
        <v>61</v>
      </c>
      <c r="H56" s="16">
        <v>9</v>
      </c>
      <c r="I56" s="16">
        <v>0.83399999999999996</v>
      </c>
      <c r="J56" s="16">
        <v>0</v>
      </c>
      <c r="K56" s="16">
        <v>1.7000000000000001E-2</v>
      </c>
    </row>
    <row r="57" spans="1:11" ht="15.45" customHeight="1" x14ac:dyDescent="0.3">
      <c r="A57" s="14">
        <v>46038</v>
      </c>
      <c r="B57" s="15">
        <v>46039.224305555559</v>
      </c>
      <c r="C57" s="16">
        <v>36</v>
      </c>
      <c r="D57" s="16" t="s">
        <v>70</v>
      </c>
      <c r="E57" s="16" t="s">
        <v>11</v>
      </c>
      <c r="F57" s="16" t="s">
        <v>72</v>
      </c>
      <c r="G57" s="16" t="s">
        <v>51</v>
      </c>
      <c r="H57" s="16">
        <v>15</v>
      </c>
      <c r="I57" s="16">
        <v>0.56799999999999995</v>
      </c>
      <c r="J57" s="16">
        <v>0</v>
      </c>
      <c r="K57" s="16">
        <v>0.02</v>
      </c>
    </row>
    <row r="58" spans="1:11" ht="15.45" customHeight="1" x14ac:dyDescent="0.3">
      <c r="A58" s="14">
        <v>46038</v>
      </c>
      <c r="B58" s="15">
        <v>46039.22152777778</v>
      </c>
      <c r="C58" s="16">
        <v>38</v>
      </c>
      <c r="D58" s="16" t="s">
        <v>70</v>
      </c>
      <c r="E58" s="16" t="s">
        <v>11</v>
      </c>
      <c r="F58" s="16" t="s">
        <v>76</v>
      </c>
      <c r="G58" s="16" t="s">
        <v>77</v>
      </c>
      <c r="H58" s="16">
        <v>9</v>
      </c>
      <c r="I58" s="16">
        <v>0.98099999999999998</v>
      </c>
      <c r="J58" s="16">
        <v>0</v>
      </c>
      <c r="K58" s="16">
        <v>1.0999999999999999E-2</v>
      </c>
    </row>
    <row r="59" spans="1:11" ht="15.45" customHeight="1" x14ac:dyDescent="0.3">
      <c r="A59" s="14">
        <v>46038</v>
      </c>
      <c r="B59" s="15">
        <v>46039.22152777778</v>
      </c>
      <c r="C59" s="16">
        <v>25</v>
      </c>
      <c r="D59" s="16" t="s">
        <v>70</v>
      </c>
      <c r="E59" s="16" t="s">
        <v>11</v>
      </c>
      <c r="F59" s="16" t="s">
        <v>58</v>
      </c>
      <c r="G59" s="16" t="s">
        <v>59</v>
      </c>
      <c r="H59" s="16">
        <v>4</v>
      </c>
      <c r="I59" s="16">
        <v>0.73299999999999998</v>
      </c>
      <c r="J59" s="16">
        <v>0.02</v>
      </c>
      <c r="K59" s="16">
        <v>2.8000000000000001E-2</v>
      </c>
    </row>
    <row r="60" spans="1:11" ht="15.45" customHeight="1" x14ac:dyDescent="0.3">
      <c r="A60" s="14">
        <v>46038</v>
      </c>
      <c r="B60" s="15">
        <v>46039.219444444447</v>
      </c>
      <c r="C60" s="16">
        <v>9</v>
      </c>
      <c r="D60" s="16" t="s">
        <v>70</v>
      </c>
      <c r="E60" s="16" t="s">
        <v>11</v>
      </c>
      <c r="F60" s="16" t="s">
        <v>50</v>
      </c>
      <c r="G60" s="16" t="s">
        <v>51</v>
      </c>
      <c r="H60" s="16">
        <v>15</v>
      </c>
      <c r="I60" s="16">
        <v>0.55700000000000005</v>
      </c>
      <c r="J60" s="16">
        <v>0</v>
      </c>
      <c r="K60" s="16">
        <v>2.1000000000000001E-2</v>
      </c>
    </row>
    <row r="61" spans="1:11" ht="15.45" customHeight="1" x14ac:dyDescent="0.3">
      <c r="A61" s="14">
        <v>46038</v>
      </c>
      <c r="B61" s="15">
        <v>46039.219444444447</v>
      </c>
      <c r="C61" s="16">
        <v>22</v>
      </c>
      <c r="D61" s="16" t="s">
        <v>70</v>
      </c>
      <c r="E61" s="16" t="s">
        <v>11</v>
      </c>
      <c r="F61" s="16" t="s">
        <v>90</v>
      </c>
      <c r="G61" s="16" t="s">
        <v>91</v>
      </c>
      <c r="H61" s="16">
        <v>2</v>
      </c>
      <c r="I61" s="16">
        <v>1.417</v>
      </c>
      <c r="J61" s="16">
        <v>0</v>
      </c>
      <c r="K61" s="16">
        <v>2.4E-2</v>
      </c>
    </row>
    <row r="62" spans="1:11" ht="15.45" customHeight="1" x14ac:dyDescent="0.3">
      <c r="A62" s="14">
        <v>46038</v>
      </c>
      <c r="B62" s="15">
        <v>46039.217361111114</v>
      </c>
      <c r="C62" s="16">
        <v>31</v>
      </c>
      <c r="D62" s="16" t="s">
        <v>70</v>
      </c>
      <c r="E62" s="16" t="s">
        <v>11</v>
      </c>
      <c r="F62" s="16" t="s">
        <v>92</v>
      </c>
      <c r="G62" s="16" t="s">
        <v>93</v>
      </c>
      <c r="H62" s="16">
        <v>2</v>
      </c>
      <c r="I62" s="16">
        <v>0.81799999999999995</v>
      </c>
      <c r="J62" s="16">
        <v>0</v>
      </c>
      <c r="K62" s="16">
        <v>1.4E-2</v>
      </c>
    </row>
    <row r="63" spans="1:11" ht="15.45" customHeight="1" x14ac:dyDescent="0.3">
      <c r="A63" s="14">
        <v>46038</v>
      </c>
      <c r="B63" s="15">
        <v>46039.21597222222</v>
      </c>
      <c r="C63" s="16">
        <v>11</v>
      </c>
      <c r="D63" s="16" t="s">
        <v>70</v>
      </c>
      <c r="E63" s="16" t="s">
        <v>11</v>
      </c>
      <c r="F63" s="16" t="s">
        <v>50</v>
      </c>
      <c r="G63" s="16" t="s">
        <v>51</v>
      </c>
      <c r="H63" s="16">
        <v>15</v>
      </c>
      <c r="I63" s="16">
        <v>0.56000000000000005</v>
      </c>
      <c r="J63" s="16">
        <v>0</v>
      </c>
      <c r="K63" s="16">
        <v>1.4E-2</v>
      </c>
    </row>
    <row r="64" spans="1:11" ht="15.45" customHeight="1" x14ac:dyDescent="0.3">
      <c r="A64" s="14">
        <v>46038</v>
      </c>
      <c r="B64" s="15">
        <v>46039.215277777781</v>
      </c>
      <c r="C64" s="16">
        <v>33</v>
      </c>
      <c r="D64" s="16" t="s">
        <v>70</v>
      </c>
      <c r="E64" s="16" t="s">
        <v>11</v>
      </c>
      <c r="F64" s="16" t="s">
        <v>64</v>
      </c>
      <c r="G64" s="16" t="s">
        <v>65</v>
      </c>
      <c r="H64" s="16">
        <v>9</v>
      </c>
      <c r="I64" s="16">
        <v>0.81899999999999995</v>
      </c>
      <c r="J64" s="16">
        <v>0</v>
      </c>
      <c r="K64" s="16">
        <v>1.0999999999999999E-2</v>
      </c>
    </row>
    <row r="65" spans="1:11" ht="15.45" customHeight="1" x14ac:dyDescent="0.3">
      <c r="A65" s="14">
        <v>46038</v>
      </c>
      <c r="B65" s="15">
        <v>46039.213888888888</v>
      </c>
      <c r="C65" s="16">
        <v>20</v>
      </c>
      <c r="D65" s="16" t="s">
        <v>70</v>
      </c>
      <c r="E65" s="16" t="s">
        <v>11</v>
      </c>
      <c r="F65" s="16" t="s">
        <v>69</v>
      </c>
      <c r="G65" s="16" t="s">
        <v>51</v>
      </c>
      <c r="H65" s="16">
        <v>15</v>
      </c>
      <c r="I65" s="16">
        <v>0.57799999999999996</v>
      </c>
      <c r="J65" s="16">
        <v>0</v>
      </c>
      <c r="K65" s="16">
        <v>1.7000000000000001E-2</v>
      </c>
    </row>
    <row r="66" spans="1:11" ht="15.45" customHeight="1" x14ac:dyDescent="0.3">
      <c r="A66" s="14">
        <v>46038</v>
      </c>
      <c r="B66" s="15">
        <v>46039.212500000001</v>
      </c>
      <c r="C66" s="16">
        <v>34</v>
      </c>
      <c r="D66" s="16" t="s">
        <v>70</v>
      </c>
      <c r="E66" s="16" t="s">
        <v>11</v>
      </c>
      <c r="F66" s="16" t="s">
        <v>71</v>
      </c>
      <c r="G66" s="16" t="s">
        <v>61</v>
      </c>
      <c r="H66" s="16">
        <v>9</v>
      </c>
      <c r="I66" s="16">
        <v>0.83599999999999997</v>
      </c>
      <c r="J66" s="16">
        <v>0</v>
      </c>
      <c r="K66" s="16">
        <v>2.1999999999999999E-2</v>
      </c>
    </row>
    <row r="67" spans="1:11" ht="15.45" customHeight="1" x14ac:dyDescent="0.3">
      <c r="A67" s="14">
        <v>46038</v>
      </c>
      <c r="B67" s="15">
        <v>46039.211805555555</v>
      </c>
      <c r="C67" s="16">
        <v>31</v>
      </c>
      <c r="D67" s="16" t="s">
        <v>70</v>
      </c>
      <c r="E67" s="16" t="s">
        <v>11</v>
      </c>
      <c r="F67" s="16" t="s">
        <v>92</v>
      </c>
      <c r="G67" s="16" t="s">
        <v>93</v>
      </c>
      <c r="H67" s="16">
        <v>2</v>
      </c>
      <c r="I67" s="16">
        <v>1.3480000000000001</v>
      </c>
      <c r="J67" s="16">
        <v>0</v>
      </c>
      <c r="K67" s="16">
        <v>4.1000000000000002E-2</v>
      </c>
    </row>
    <row r="68" spans="1:11" ht="15.45" customHeight="1" x14ac:dyDescent="0.3">
      <c r="A68" s="14">
        <v>46038</v>
      </c>
      <c r="B68" s="15">
        <v>46039.211805555555</v>
      </c>
      <c r="C68" s="16">
        <v>10</v>
      </c>
      <c r="D68" s="16" t="s">
        <v>70</v>
      </c>
      <c r="E68" s="16" t="s">
        <v>11</v>
      </c>
      <c r="F68" s="16" t="s">
        <v>54</v>
      </c>
      <c r="G68" s="16" t="s">
        <v>55</v>
      </c>
      <c r="H68" s="16">
        <v>2</v>
      </c>
      <c r="I68" s="16">
        <v>0.91800000000000004</v>
      </c>
      <c r="J68" s="16">
        <v>0</v>
      </c>
      <c r="K68" s="16">
        <v>1.6E-2</v>
      </c>
    </row>
    <row r="69" spans="1:11" ht="15.45" customHeight="1" x14ac:dyDescent="0.3">
      <c r="A69" s="14">
        <v>46038</v>
      </c>
      <c r="B69" s="15">
        <v>46039.210416666669</v>
      </c>
      <c r="C69" s="16">
        <v>24</v>
      </c>
      <c r="D69" s="16" t="s">
        <v>70</v>
      </c>
      <c r="E69" s="16" t="s">
        <v>11</v>
      </c>
      <c r="F69" s="16" t="s">
        <v>56</v>
      </c>
      <c r="G69" s="16" t="s">
        <v>57</v>
      </c>
      <c r="H69" s="16">
        <v>24</v>
      </c>
      <c r="I69" s="16">
        <v>0.81799999999999995</v>
      </c>
      <c r="J69" s="16">
        <v>0</v>
      </c>
      <c r="K69" s="16">
        <v>1.7999999999999999E-2</v>
      </c>
    </row>
    <row r="70" spans="1:11" ht="15.45" customHeight="1" x14ac:dyDescent="0.3">
      <c r="A70" s="14">
        <v>46038</v>
      </c>
      <c r="B70" s="15">
        <v>46039.209027777775</v>
      </c>
      <c r="C70" s="16">
        <v>31</v>
      </c>
      <c r="D70" s="16" t="s">
        <v>70</v>
      </c>
      <c r="E70" s="16" t="s">
        <v>11</v>
      </c>
      <c r="F70" s="16" t="s">
        <v>92</v>
      </c>
      <c r="G70" s="16" t="s">
        <v>93</v>
      </c>
      <c r="H70" s="16">
        <v>2</v>
      </c>
      <c r="I70" s="16">
        <v>1.2889999999999999</v>
      </c>
      <c r="J70" s="16">
        <v>0</v>
      </c>
      <c r="K70" s="16">
        <v>2.9000000000000001E-2</v>
      </c>
    </row>
    <row r="71" spans="1:11" ht="15.45" customHeight="1" x14ac:dyDescent="0.3">
      <c r="A71" s="14">
        <v>46038</v>
      </c>
      <c r="B71" s="15">
        <v>46039.207638888889</v>
      </c>
      <c r="C71" s="16">
        <v>10</v>
      </c>
      <c r="D71" s="16" t="s">
        <v>70</v>
      </c>
      <c r="E71" s="16" t="s">
        <v>11</v>
      </c>
      <c r="F71" s="16" t="s">
        <v>54</v>
      </c>
      <c r="G71" s="16" t="s">
        <v>55</v>
      </c>
      <c r="H71" s="16">
        <v>2</v>
      </c>
      <c r="I71" s="16">
        <v>0.92800000000000005</v>
      </c>
      <c r="J71" s="16">
        <v>0</v>
      </c>
      <c r="K71" s="16">
        <v>2.1999999999999999E-2</v>
      </c>
    </row>
    <row r="72" spans="1:11" ht="15.45" customHeight="1" x14ac:dyDescent="0.3">
      <c r="A72" s="14">
        <v>46038</v>
      </c>
      <c r="B72" s="15">
        <v>46039.20416666667</v>
      </c>
      <c r="C72" s="16">
        <v>31</v>
      </c>
      <c r="D72" s="16" t="s">
        <v>70</v>
      </c>
      <c r="E72" s="16" t="s">
        <v>11</v>
      </c>
      <c r="F72" s="16" t="s">
        <v>92</v>
      </c>
      <c r="G72" s="16" t="s">
        <v>93</v>
      </c>
      <c r="H72" s="16">
        <v>2</v>
      </c>
      <c r="I72" s="16">
        <v>1.3320000000000001</v>
      </c>
      <c r="J72" s="16">
        <v>0</v>
      </c>
      <c r="K72" s="16">
        <v>7.2999999999999995E-2</v>
      </c>
    </row>
    <row r="73" spans="1:11" ht="15.45" customHeight="1" x14ac:dyDescent="0.3">
      <c r="A73" s="14">
        <v>46038</v>
      </c>
      <c r="B73" s="15">
        <v>46039.203472222223</v>
      </c>
      <c r="C73" s="16">
        <v>37</v>
      </c>
      <c r="D73" s="16" t="s">
        <v>70</v>
      </c>
      <c r="E73" s="16" t="s">
        <v>11</v>
      </c>
      <c r="F73" s="16" t="s">
        <v>52</v>
      </c>
      <c r="G73" s="16" t="s">
        <v>53</v>
      </c>
      <c r="H73" s="16">
        <v>5</v>
      </c>
      <c r="I73" s="16">
        <v>0.93</v>
      </c>
      <c r="J73" s="16">
        <v>0</v>
      </c>
      <c r="K73" s="16">
        <v>2.1000000000000001E-2</v>
      </c>
    </row>
    <row r="74" spans="1:11" ht="15.45" customHeight="1" x14ac:dyDescent="0.3">
      <c r="A74" s="14">
        <v>46038</v>
      </c>
      <c r="B74" s="15">
        <v>46039.200694444444</v>
      </c>
      <c r="C74" s="16">
        <v>25</v>
      </c>
      <c r="D74" s="16" t="s">
        <v>70</v>
      </c>
      <c r="E74" s="16" t="s">
        <v>11</v>
      </c>
      <c r="F74" s="16" t="s">
        <v>58</v>
      </c>
      <c r="G74" s="16" t="s">
        <v>59</v>
      </c>
      <c r="H74" s="16">
        <v>4</v>
      </c>
      <c r="I74" s="16">
        <v>0.73699999999999999</v>
      </c>
      <c r="J74" s="16">
        <v>0.02</v>
      </c>
      <c r="K74" s="16">
        <v>2.4E-2</v>
      </c>
    </row>
    <row r="75" spans="1:11" ht="15.45" customHeight="1" x14ac:dyDescent="0.3">
      <c r="A75" s="14">
        <v>46038</v>
      </c>
      <c r="B75" s="15">
        <v>46039.197222222225</v>
      </c>
      <c r="C75" s="16">
        <v>37</v>
      </c>
      <c r="D75" s="16" t="s">
        <v>70</v>
      </c>
      <c r="E75" s="16" t="s">
        <v>11</v>
      </c>
      <c r="F75" s="16" t="s">
        <v>52</v>
      </c>
      <c r="G75" s="16" t="s">
        <v>53</v>
      </c>
      <c r="H75" s="16">
        <v>5</v>
      </c>
      <c r="I75" s="16">
        <v>0.94599999999999995</v>
      </c>
      <c r="J75" s="16">
        <v>0</v>
      </c>
      <c r="K75" s="16">
        <v>2.9000000000000001E-2</v>
      </c>
    </row>
    <row r="76" spans="1:11" ht="15.45" customHeight="1" x14ac:dyDescent="0.3">
      <c r="A76" s="14">
        <v>46038</v>
      </c>
      <c r="B76" s="15">
        <v>46039.193749999999</v>
      </c>
      <c r="C76" s="16">
        <v>35</v>
      </c>
      <c r="D76" s="16" t="s">
        <v>70</v>
      </c>
      <c r="E76" s="16" t="s">
        <v>11</v>
      </c>
      <c r="F76" s="16" t="s">
        <v>73</v>
      </c>
      <c r="G76" s="16" t="s">
        <v>63</v>
      </c>
      <c r="H76" s="16">
        <v>14</v>
      </c>
      <c r="I76" s="16">
        <v>0.92600000000000005</v>
      </c>
      <c r="J76" s="16">
        <v>0</v>
      </c>
      <c r="K76" s="16">
        <v>0.02</v>
      </c>
    </row>
    <row r="77" spans="1:11" ht="15.45" customHeight="1" x14ac:dyDescent="0.3">
      <c r="A77" s="14">
        <v>46038</v>
      </c>
      <c r="B77" s="15">
        <v>46039.193055555559</v>
      </c>
      <c r="C77" s="16">
        <v>27</v>
      </c>
      <c r="D77" s="16" t="s">
        <v>70</v>
      </c>
      <c r="E77" s="16" t="s">
        <v>11</v>
      </c>
      <c r="F77" s="16" t="s">
        <v>60</v>
      </c>
      <c r="G77" s="16" t="s">
        <v>61</v>
      </c>
      <c r="H77" s="16">
        <v>2</v>
      </c>
      <c r="I77" s="16">
        <v>0.78300000000000003</v>
      </c>
      <c r="J77" s="16">
        <v>0</v>
      </c>
      <c r="K77" s="16">
        <v>0.02</v>
      </c>
    </row>
    <row r="78" spans="1:11" ht="15.45" customHeight="1" x14ac:dyDescent="0.3">
      <c r="A78" s="14">
        <v>46038</v>
      </c>
      <c r="B78" s="15">
        <v>46039.192361111112</v>
      </c>
      <c r="C78" s="16">
        <v>22</v>
      </c>
      <c r="D78" s="16" t="s">
        <v>70</v>
      </c>
      <c r="E78" s="16" t="s">
        <v>11</v>
      </c>
      <c r="F78" s="16" t="s">
        <v>90</v>
      </c>
      <c r="G78" s="16" t="s">
        <v>91</v>
      </c>
      <c r="H78" s="16">
        <v>2</v>
      </c>
      <c r="I78" s="16">
        <v>1.427</v>
      </c>
      <c r="J78" s="16">
        <v>0</v>
      </c>
      <c r="K78" s="16">
        <v>0.03</v>
      </c>
    </row>
    <row r="79" spans="1:11" ht="15.45" customHeight="1" x14ac:dyDescent="0.3">
      <c r="A79" s="14">
        <v>46038</v>
      </c>
      <c r="B79" s="15">
        <v>46039.19027777778</v>
      </c>
      <c r="C79" s="16">
        <v>36</v>
      </c>
      <c r="D79" s="16" t="s">
        <v>70</v>
      </c>
      <c r="E79" s="16" t="s">
        <v>11</v>
      </c>
      <c r="F79" s="16" t="s">
        <v>72</v>
      </c>
      <c r="G79" s="16" t="s">
        <v>51</v>
      </c>
      <c r="H79" s="16">
        <v>15</v>
      </c>
      <c r="I79" s="16">
        <v>0.55800000000000005</v>
      </c>
      <c r="J79" s="16">
        <v>0</v>
      </c>
      <c r="K79" s="16">
        <v>1.6E-2</v>
      </c>
    </row>
    <row r="80" spans="1:11" ht="15.45" customHeight="1" x14ac:dyDescent="0.3">
      <c r="A80" s="14">
        <v>46038</v>
      </c>
      <c r="B80" s="15">
        <v>46039.18472222222</v>
      </c>
      <c r="C80" s="16">
        <v>22</v>
      </c>
      <c r="D80" s="16" t="s">
        <v>70</v>
      </c>
      <c r="E80" s="16" t="s">
        <v>11</v>
      </c>
      <c r="F80" s="16" t="s">
        <v>90</v>
      </c>
      <c r="G80" s="16" t="s">
        <v>91</v>
      </c>
      <c r="H80" s="16">
        <v>2</v>
      </c>
      <c r="I80" s="16">
        <v>1.403</v>
      </c>
      <c r="J80" s="16">
        <v>0</v>
      </c>
      <c r="K80" s="16">
        <v>3.3000000000000002E-2</v>
      </c>
    </row>
    <row r="81" spans="1:11" ht="15.45" customHeight="1" x14ac:dyDescent="0.3">
      <c r="A81" s="14">
        <v>46038</v>
      </c>
      <c r="B81" s="15">
        <v>46039.184027777781</v>
      </c>
      <c r="C81" s="16">
        <v>27</v>
      </c>
      <c r="D81" s="16" t="s">
        <v>70</v>
      </c>
      <c r="E81" s="16" t="s">
        <v>11</v>
      </c>
      <c r="F81" s="16" t="s">
        <v>60</v>
      </c>
      <c r="G81" s="16" t="s">
        <v>61</v>
      </c>
      <c r="H81" s="16">
        <v>2</v>
      </c>
      <c r="I81" s="16">
        <v>0.80900000000000005</v>
      </c>
      <c r="J81" s="16">
        <v>0</v>
      </c>
      <c r="K81" s="16">
        <v>1.7999999999999999E-2</v>
      </c>
    </row>
    <row r="82" spans="1:11" ht="15.45" customHeight="1" x14ac:dyDescent="0.3">
      <c r="A82" s="14">
        <v>46038</v>
      </c>
      <c r="B82" s="15">
        <v>46039.182638888888</v>
      </c>
      <c r="C82" s="16">
        <v>9</v>
      </c>
      <c r="D82" s="16" t="s">
        <v>70</v>
      </c>
      <c r="E82" s="16" t="s">
        <v>11</v>
      </c>
      <c r="F82" s="16" t="s">
        <v>50</v>
      </c>
      <c r="G82" s="16" t="s">
        <v>51</v>
      </c>
      <c r="H82" s="16">
        <v>15</v>
      </c>
      <c r="I82" s="16">
        <v>0.55300000000000005</v>
      </c>
      <c r="J82" s="16">
        <v>0</v>
      </c>
      <c r="K82" s="16">
        <v>1.0999999999999999E-2</v>
      </c>
    </row>
    <row r="83" spans="1:11" ht="15.45" customHeight="1" x14ac:dyDescent="0.3">
      <c r="A83" s="14">
        <v>46038</v>
      </c>
      <c r="B83" s="15">
        <v>46039.181250000001</v>
      </c>
      <c r="C83" s="16">
        <v>9</v>
      </c>
      <c r="D83" s="16" t="s">
        <v>70</v>
      </c>
      <c r="E83" s="16" t="s">
        <v>11</v>
      </c>
      <c r="F83" s="16" t="s">
        <v>50</v>
      </c>
      <c r="G83" s="16" t="s">
        <v>51</v>
      </c>
      <c r="H83" s="16">
        <v>15</v>
      </c>
      <c r="I83" s="16">
        <v>0.56100000000000005</v>
      </c>
      <c r="J83" s="16">
        <v>0</v>
      </c>
      <c r="K83" s="16">
        <v>1.2E-2</v>
      </c>
    </row>
    <row r="84" spans="1:11" ht="15.45" customHeight="1" x14ac:dyDescent="0.3">
      <c r="A84" s="14">
        <v>46038</v>
      </c>
      <c r="B84" s="15">
        <v>46039.179861111108</v>
      </c>
      <c r="C84" s="16">
        <v>36</v>
      </c>
      <c r="D84" s="16" t="s">
        <v>70</v>
      </c>
      <c r="E84" s="16" t="s">
        <v>11</v>
      </c>
      <c r="F84" s="16" t="s">
        <v>72</v>
      </c>
      <c r="G84" s="16" t="s">
        <v>51</v>
      </c>
      <c r="H84" s="16">
        <v>15</v>
      </c>
      <c r="I84" s="16">
        <v>0.55400000000000005</v>
      </c>
      <c r="J84" s="16">
        <v>0</v>
      </c>
      <c r="K84" s="16">
        <v>2.1000000000000001E-2</v>
      </c>
    </row>
    <row r="85" spans="1:11" ht="15.45" customHeight="1" x14ac:dyDescent="0.3">
      <c r="A85" s="14">
        <v>46038</v>
      </c>
      <c r="B85" s="15">
        <v>46039.177777777775</v>
      </c>
      <c r="C85" s="16">
        <v>24</v>
      </c>
      <c r="D85" s="16" t="s">
        <v>70</v>
      </c>
      <c r="E85" s="16" t="s">
        <v>11</v>
      </c>
      <c r="F85" s="16" t="s">
        <v>56</v>
      </c>
      <c r="G85" s="16" t="s">
        <v>57</v>
      </c>
      <c r="H85" s="16">
        <v>24</v>
      </c>
      <c r="I85" s="16">
        <v>0.84099999999999997</v>
      </c>
      <c r="J85" s="16">
        <v>0</v>
      </c>
      <c r="K85" s="16">
        <v>1.4999999999999999E-2</v>
      </c>
    </row>
    <row r="86" spans="1:11" ht="15.45" customHeight="1" x14ac:dyDescent="0.3">
      <c r="A86" s="14">
        <v>46038</v>
      </c>
      <c r="B86" s="15">
        <v>46039.177083333336</v>
      </c>
      <c r="C86" s="16">
        <v>20</v>
      </c>
      <c r="D86" s="16" t="s">
        <v>70</v>
      </c>
      <c r="E86" s="16" t="s">
        <v>11</v>
      </c>
      <c r="F86" s="16" t="s">
        <v>69</v>
      </c>
      <c r="G86" s="16" t="s">
        <v>51</v>
      </c>
      <c r="H86" s="16">
        <v>15</v>
      </c>
      <c r="I86" s="16">
        <v>0.58599999999999997</v>
      </c>
      <c r="J86" s="16">
        <v>0</v>
      </c>
      <c r="K86" s="16">
        <v>1.7000000000000001E-2</v>
      </c>
    </row>
    <row r="87" spans="1:11" ht="15.45" customHeight="1" x14ac:dyDescent="0.3">
      <c r="A87" s="14">
        <v>46038</v>
      </c>
      <c r="B87" s="15">
        <v>46039.175694444442</v>
      </c>
      <c r="C87" s="16">
        <v>20</v>
      </c>
      <c r="D87" s="16" t="s">
        <v>70</v>
      </c>
      <c r="E87" s="16" t="s">
        <v>11</v>
      </c>
      <c r="F87" s="16" t="s">
        <v>69</v>
      </c>
      <c r="G87" s="16" t="s">
        <v>51</v>
      </c>
      <c r="H87" s="16">
        <v>15</v>
      </c>
      <c r="I87" s="16">
        <v>0.58899999999999997</v>
      </c>
      <c r="J87" s="16">
        <v>0</v>
      </c>
      <c r="K87" s="16">
        <v>1.0999999999999999E-2</v>
      </c>
    </row>
    <row r="88" spans="1:11" ht="15.45" customHeight="1" x14ac:dyDescent="0.3">
      <c r="A88" s="14">
        <v>46038</v>
      </c>
      <c r="B88" s="15">
        <v>46039.175694444442</v>
      </c>
      <c r="C88" s="16">
        <v>9</v>
      </c>
      <c r="D88" s="16" t="s">
        <v>70</v>
      </c>
      <c r="E88" s="16" t="s">
        <v>11</v>
      </c>
      <c r="F88" s="16" t="s">
        <v>50</v>
      </c>
      <c r="G88" s="16" t="s">
        <v>51</v>
      </c>
      <c r="H88" s="16">
        <v>15</v>
      </c>
      <c r="I88" s="16">
        <v>0.54600000000000004</v>
      </c>
      <c r="J88" s="16">
        <v>0</v>
      </c>
      <c r="K88" s="16">
        <v>1.4999999999999999E-2</v>
      </c>
    </row>
    <row r="89" spans="1:11" ht="15.45" customHeight="1" x14ac:dyDescent="0.3">
      <c r="A89" s="14">
        <v>46038</v>
      </c>
      <c r="B89" s="15">
        <v>46039.175000000003</v>
      </c>
      <c r="C89" s="16">
        <v>33</v>
      </c>
      <c r="D89" s="16" t="s">
        <v>70</v>
      </c>
      <c r="E89" s="16" t="s">
        <v>11</v>
      </c>
      <c r="F89" s="16" t="s">
        <v>64</v>
      </c>
      <c r="G89" s="16" t="s">
        <v>65</v>
      </c>
      <c r="H89" s="16">
        <v>9</v>
      </c>
      <c r="I89" s="16">
        <v>0.82</v>
      </c>
      <c r="J89" s="16">
        <v>0</v>
      </c>
      <c r="K89" s="16">
        <v>1.2999999999999999E-2</v>
      </c>
    </row>
    <row r="90" spans="1:11" ht="15.45" customHeight="1" x14ac:dyDescent="0.3">
      <c r="A90" s="14">
        <v>46038</v>
      </c>
      <c r="B90" s="15">
        <v>46039.174305555556</v>
      </c>
      <c r="C90" s="16">
        <v>9</v>
      </c>
      <c r="D90" s="16" t="s">
        <v>70</v>
      </c>
      <c r="E90" s="16" t="s">
        <v>11</v>
      </c>
      <c r="F90" s="16" t="s">
        <v>50</v>
      </c>
      <c r="G90" s="16" t="s">
        <v>51</v>
      </c>
      <c r="H90" s="16">
        <v>15</v>
      </c>
      <c r="I90" s="16">
        <v>0.55500000000000005</v>
      </c>
      <c r="J90" s="16">
        <v>0</v>
      </c>
      <c r="K90" s="16">
        <v>1.2E-2</v>
      </c>
    </row>
    <row r="91" spans="1:11" ht="15.45" customHeight="1" x14ac:dyDescent="0.3">
      <c r="A91" s="14">
        <v>46038</v>
      </c>
      <c r="B91" s="15">
        <v>46039.173611111109</v>
      </c>
      <c r="C91" s="16">
        <v>36</v>
      </c>
      <c r="D91" s="16" t="s">
        <v>70</v>
      </c>
      <c r="E91" s="16" t="s">
        <v>11</v>
      </c>
      <c r="F91" s="16" t="s">
        <v>72</v>
      </c>
      <c r="G91" s="16" t="s">
        <v>51</v>
      </c>
      <c r="H91" s="16">
        <v>15</v>
      </c>
      <c r="I91" s="16">
        <v>0.55900000000000005</v>
      </c>
      <c r="J91" s="16">
        <v>0</v>
      </c>
      <c r="K91" s="16">
        <v>2.1000000000000001E-2</v>
      </c>
    </row>
    <row r="92" spans="1:11" ht="15.45" customHeight="1" x14ac:dyDescent="0.3">
      <c r="A92" s="14">
        <v>46038</v>
      </c>
      <c r="B92" s="15">
        <v>46039.173611111109</v>
      </c>
      <c r="C92" s="16">
        <v>28</v>
      </c>
      <c r="D92" s="16" t="s">
        <v>70</v>
      </c>
      <c r="E92" s="16" t="s">
        <v>11</v>
      </c>
      <c r="F92" s="16" t="s">
        <v>56</v>
      </c>
      <c r="G92" s="16" t="s">
        <v>57</v>
      </c>
      <c r="H92" s="16">
        <v>24</v>
      </c>
      <c r="I92" s="16">
        <v>0.82599999999999996</v>
      </c>
      <c r="J92" s="16">
        <v>0</v>
      </c>
      <c r="K92" s="16">
        <v>1.9E-2</v>
      </c>
    </row>
    <row r="93" spans="1:11" ht="15.45" customHeight="1" x14ac:dyDescent="0.3">
      <c r="A93" s="14">
        <v>46038</v>
      </c>
      <c r="B93" s="15">
        <v>46039.172222222223</v>
      </c>
      <c r="C93" s="16">
        <v>34</v>
      </c>
      <c r="D93" s="16" t="s">
        <v>70</v>
      </c>
      <c r="E93" s="16" t="s">
        <v>11</v>
      </c>
      <c r="F93" s="16" t="s">
        <v>71</v>
      </c>
      <c r="G93" s="16" t="s">
        <v>61</v>
      </c>
      <c r="H93" s="16">
        <v>9</v>
      </c>
      <c r="I93" s="16">
        <v>0.82299999999999995</v>
      </c>
      <c r="J93" s="16">
        <v>0</v>
      </c>
      <c r="K93" s="16">
        <v>1.4E-2</v>
      </c>
    </row>
    <row r="94" spans="1:11" ht="15.45" customHeight="1" x14ac:dyDescent="0.3">
      <c r="A94" s="14">
        <v>46038</v>
      </c>
      <c r="B94" s="15">
        <v>46039.171527777777</v>
      </c>
      <c r="C94" s="16">
        <v>38</v>
      </c>
      <c r="D94" s="16" t="s">
        <v>70</v>
      </c>
      <c r="E94" s="16" t="s">
        <v>11</v>
      </c>
      <c r="F94" s="16" t="s">
        <v>76</v>
      </c>
      <c r="G94" s="16" t="s">
        <v>77</v>
      </c>
      <c r="H94" s="16">
        <v>9</v>
      </c>
      <c r="I94" s="16">
        <v>0.97699999999999998</v>
      </c>
      <c r="J94" s="16">
        <v>0</v>
      </c>
      <c r="K94" s="16">
        <v>2.9000000000000001E-2</v>
      </c>
    </row>
    <row r="95" spans="1:11" ht="15.45" customHeight="1" x14ac:dyDescent="0.3">
      <c r="A95" s="14">
        <v>46038</v>
      </c>
      <c r="B95" s="15">
        <v>46039.170138888891</v>
      </c>
      <c r="C95" s="16">
        <v>26</v>
      </c>
      <c r="D95" s="16" t="s">
        <v>70</v>
      </c>
      <c r="E95" s="16" t="s">
        <v>11</v>
      </c>
      <c r="F95" s="16" t="s">
        <v>50</v>
      </c>
      <c r="G95" s="16" t="s">
        <v>51</v>
      </c>
      <c r="H95" s="16">
        <v>15</v>
      </c>
      <c r="I95" s="16">
        <v>0.55000000000000004</v>
      </c>
      <c r="J95" s="16">
        <v>0</v>
      </c>
      <c r="K95" s="16">
        <v>1.7000000000000001E-2</v>
      </c>
    </row>
    <row r="96" spans="1:11" ht="15.45" customHeight="1" x14ac:dyDescent="0.3">
      <c r="A96" s="14">
        <v>46038</v>
      </c>
      <c r="B96" s="15">
        <v>46039.170138888891</v>
      </c>
      <c r="C96" s="16">
        <v>38</v>
      </c>
      <c r="D96" s="16" t="s">
        <v>70</v>
      </c>
      <c r="E96" s="16" t="s">
        <v>11</v>
      </c>
      <c r="F96" s="16" t="s">
        <v>76</v>
      </c>
      <c r="G96" s="16" t="s">
        <v>77</v>
      </c>
      <c r="H96" s="16">
        <v>9</v>
      </c>
      <c r="I96" s="16">
        <v>0.96299999999999997</v>
      </c>
      <c r="J96" s="16">
        <v>0</v>
      </c>
      <c r="K96" s="16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990D-949F-477C-A70A-22E8989ACC69}">
  <dimension ref="A2:C26"/>
  <sheetViews>
    <sheetView workbookViewId="0">
      <selection activeCell="A2" sqref="A2:C26"/>
    </sheetView>
  </sheetViews>
  <sheetFormatPr defaultRowHeight="14.4" x14ac:dyDescent="0.3"/>
  <cols>
    <col min="1" max="1" width="12.33203125" bestFit="1" customWidth="1"/>
    <col min="2" max="2" width="16.21875" bestFit="1" customWidth="1"/>
  </cols>
  <sheetData>
    <row r="2" spans="1:3" x14ac:dyDescent="0.3">
      <c r="A2" s="19" t="s">
        <v>99</v>
      </c>
      <c r="B2" s="19"/>
      <c r="C2" s="19"/>
    </row>
    <row r="3" spans="1:3" x14ac:dyDescent="0.3">
      <c r="A3" s="20" t="s">
        <v>87</v>
      </c>
      <c r="B3" s="20" t="s">
        <v>83</v>
      </c>
      <c r="C3" s="21" t="s">
        <v>100</v>
      </c>
    </row>
    <row r="4" spans="1:3" x14ac:dyDescent="0.3">
      <c r="A4" s="22">
        <v>9</v>
      </c>
      <c r="B4" s="23" t="s">
        <v>50</v>
      </c>
      <c r="C4" s="24">
        <v>1.507894736842106E-2</v>
      </c>
    </row>
    <row r="5" spans="1:3" x14ac:dyDescent="0.3">
      <c r="A5" s="22">
        <v>10</v>
      </c>
      <c r="B5" s="25" t="s">
        <v>54</v>
      </c>
      <c r="C5" s="24">
        <v>2.1823529411764714E-2</v>
      </c>
    </row>
    <row r="6" spans="1:3" x14ac:dyDescent="0.3">
      <c r="A6" s="22">
        <v>11</v>
      </c>
      <c r="B6" s="26" t="s">
        <v>50</v>
      </c>
      <c r="C6" s="24">
        <v>1.9090909090909103E-2</v>
      </c>
    </row>
    <row r="7" spans="1:3" x14ac:dyDescent="0.3">
      <c r="A7" s="27">
        <v>19</v>
      </c>
      <c r="B7" s="25" t="s">
        <v>79</v>
      </c>
      <c r="C7" s="24">
        <v>4.3499999999999997E-2</v>
      </c>
    </row>
    <row r="8" spans="1:3" x14ac:dyDescent="0.3">
      <c r="A8" s="22">
        <v>20</v>
      </c>
      <c r="B8" s="23" t="s">
        <v>69</v>
      </c>
      <c r="C8" s="24">
        <v>1.8484848484848493E-2</v>
      </c>
    </row>
    <row r="9" spans="1:3" x14ac:dyDescent="0.3">
      <c r="A9" s="27">
        <v>22</v>
      </c>
      <c r="B9" s="25" t="s">
        <v>90</v>
      </c>
      <c r="C9" s="24">
        <v>3.4928571428571434E-2</v>
      </c>
    </row>
    <row r="10" spans="1:3" x14ac:dyDescent="0.3">
      <c r="A10" s="22">
        <v>24</v>
      </c>
      <c r="B10" s="23" t="s">
        <v>56</v>
      </c>
      <c r="C10" s="24">
        <v>2.0433333333333345E-2</v>
      </c>
    </row>
    <row r="11" spans="1:3" x14ac:dyDescent="0.3">
      <c r="A11" s="22">
        <v>25</v>
      </c>
      <c r="B11" s="23" t="s">
        <v>58</v>
      </c>
      <c r="C11" s="24">
        <v>2.1542857142857152E-2</v>
      </c>
    </row>
    <row r="12" spans="1:3" x14ac:dyDescent="0.3">
      <c r="A12" s="22">
        <v>26</v>
      </c>
      <c r="B12" s="26" t="s">
        <v>50</v>
      </c>
      <c r="C12" s="24">
        <v>1.479310344827587E-2</v>
      </c>
    </row>
    <row r="13" spans="1:3" x14ac:dyDescent="0.3">
      <c r="A13" s="22">
        <v>27</v>
      </c>
      <c r="B13" s="25" t="s">
        <v>60</v>
      </c>
      <c r="C13" s="24">
        <v>2.1275862068965527E-2</v>
      </c>
    </row>
    <row r="14" spans="1:3" x14ac:dyDescent="0.3">
      <c r="A14" s="22">
        <v>28</v>
      </c>
      <c r="B14" s="23" t="s">
        <v>56</v>
      </c>
      <c r="C14" s="24">
        <v>2.7424242424242434E-2</v>
      </c>
    </row>
    <row r="15" spans="1:3" x14ac:dyDescent="0.3">
      <c r="A15" s="28">
        <v>31</v>
      </c>
      <c r="B15" s="25" t="s">
        <v>92</v>
      </c>
      <c r="C15" s="24">
        <v>3.9375E-2</v>
      </c>
    </row>
    <row r="16" spans="1:3" x14ac:dyDescent="0.3">
      <c r="A16" s="27"/>
      <c r="B16" s="25" t="s">
        <v>101</v>
      </c>
      <c r="C16" s="24">
        <v>4.2249999999999996E-2</v>
      </c>
    </row>
    <row r="17" spans="1:3" x14ac:dyDescent="0.3">
      <c r="A17" s="22">
        <v>33</v>
      </c>
      <c r="B17" s="23" t="s">
        <v>64</v>
      </c>
      <c r="C17" s="24">
        <v>1.8694444444444454E-2</v>
      </c>
    </row>
    <row r="18" spans="1:3" x14ac:dyDescent="0.3">
      <c r="A18" s="22">
        <v>34</v>
      </c>
      <c r="B18" s="23" t="s">
        <v>78</v>
      </c>
      <c r="C18" s="24">
        <v>2.375E-2</v>
      </c>
    </row>
    <row r="19" spans="1:3" x14ac:dyDescent="0.3">
      <c r="A19" s="22"/>
      <c r="B19" s="25" t="s">
        <v>71</v>
      </c>
      <c r="C19" s="24">
        <v>1.5500000000000002E-2</v>
      </c>
    </row>
    <row r="20" spans="1:3" x14ac:dyDescent="0.3">
      <c r="A20" s="22">
        <v>35</v>
      </c>
      <c r="B20" s="23" t="s">
        <v>62</v>
      </c>
      <c r="C20" s="24">
        <v>1.8666666666666665E-2</v>
      </c>
    </row>
    <row r="21" spans="1:3" x14ac:dyDescent="0.3">
      <c r="A21" s="22"/>
      <c r="B21" s="23" t="s">
        <v>73</v>
      </c>
      <c r="C21" s="24">
        <v>2.1263157894736852E-2</v>
      </c>
    </row>
    <row r="22" spans="1:3" x14ac:dyDescent="0.3">
      <c r="A22" s="22">
        <v>36</v>
      </c>
      <c r="B22" s="25" t="s">
        <v>72</v>
      </c>
      <c r="C22" s="24">
        <v>2.2095238095238109E-2</v>
      </c>
    </row>
    <row r="23" spans="1:3" x14ac:dyDescent="0.3">
      <c r="A23" s="22">
        <v>37</v>
      </c>
      <c r="B23" s="23" t="s">
        <v>52</v>
      </c>
      <c r="C23" s="24">
        <v>2.1533333333333342E-2</v>
      </c>
    </row>
    <row r="24" spans="1:3" x14ac:dyDescent="0.3">
      <c r="A24" s="22">
        <v>38</v>
      </c>
      <c r="B24" s="23" t="s">
        <v>52</v>
      </c>
      <c r="C24" s="24">
        <v>1.8130434782608701E-2</v>
      </c>
    </row>
    <row r="25" spans="1:3" x14ac:dyDescent="0.3">
      <c r="A25" s="22"/>
      <c r="B25" s="25" t="s">
        <v>76</v>
      </c>
      <c r="C25" s="24">
        <v>2.0333333333333332E-2</v>
      </c>
    </row>
    <row r="26" spans="1:3" x14ac:dyDescent="0.3">
      <c r="A26" s="20" t="s">
        <v>49</v>
      </c>
      <c r="B26" s="20"/>
      <c r="C26" s="29">
        <v>2.1357999999999957E-2</v>
      </c>
    </row>
  </sheetData>
  <conditionalFormatting sqref="C2:C3">
    <cfRule type="cellIs" dxfId="9" priority="1" operator="greaterThan">
      <formula>0.02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F324-A66C-457E-B47C-96458504EE28}">
  <dimension ref="A1:L146"/>
  <sheetViews>
    <sheetView workbookViewId="0">
      <selection sqref="A1:L1"/>
    </sheetView>
  </sheetViews>
  <sheetFormatPr defaultRowHeight="14.4" x14ac:dyDescent="0.3"/>
  <cols>
    <col min="1" max="1" width="10.44140625" bestFit="1" customWidth="1"/>
    <col min="2" max="2" width="15.5546875" bestFit="1" customWidth="1"/>
    <col min="6" max="6" width="19.6640625" customWidth="1"/>
  </cols>
  <sheetData>
    <row r="1" spans="1:12" x14ac:dyDescent="0.3">
      <c r="A1" t="s">
        <v>94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103</v>
      </c>
      <c r="I1" t="s">
        <v>104</v>
      </c>
      <c r="J1" t="s">
        <v>105</v>
      </c>
      <c r="K1" t="s">
        <v>106</v>
      </c>
      <c r="L1" t="s">
        <v>105</v>
      </c>
    </row>
    <row r="2" spans="1:12" ht="18" customHeight="1" x14ac:dyDescent="0.3">
      <c r="A2" s="14">
        <v>46036</v>
      </c>
      <c r="B2" s="15">
        <v>46036.438888888886</v>
      </c>
      <c r="C2" s="16">
        <v>9</v>
      </c>
      <c r="D2" s="16" t="s">
        <v>66</v>
      </c>
      <c r="E2" s="16" t="s">
        <v>8</v>
      </c>
      <c r="F2" s="16" t="s">
        <v>50</v>
      </c>
      <c r="G2" s="16" t="s">
        <v>51</v>
      </c>
      <c r="H2" s="16">
        <v>12</v>
      </c>
      <c r="I2" s="16">
        <v>17</v>
      </c>
      <c r="J2" s="16">
        <v>16.981000000000002</v>
      </c>
      <c r="K2" s="16">
        <v>0.08</v>
      </c>
      <c r="L2" s="16">
        <v>5.2999999999999999E-2</v>
      </c>
    </row>
    <row r="3" spans="1:12" ht="18" customHeight="1" x14ac:dyDescent="0.3">
      <c r="A3" s="14">
        <v>46036</v>
      </c>
      <c r="B3" s="15">
        <v>46036.438194444447</v>
      </c>
      <c r="C3" s="16">
        <v>24</v>
      </c>
      <c r="D3" s="16" t="s">
        <v>66</v>
      </c>
      <c r="E3" s="16" t="s">
        <v>8</v>
      </c>
      <c r="F3" s="16" t="s">
        <v>56</v>
      </c>
      <c r="G3" s="16" t="s">
        <v>57</v>
      </c>
      <c r="H3" s="16">
        <v>20</v>
      </c>
      <c r="I3" s="16">
        <v>24.5</v>
      </c>
      <c r="J3" s="16">
        <v>24.556000000000001</v>
      </c>
      <c r="K3" s="16">
        <v>0.08</v>
      </c>
      <c r="L3" s="16">
        <v>3.3000000000000002E-2</v>
      </c>
    </row>
    <row r="4" spans="1:12" ht="18" customHeight="1" x14ac:dyDescent="0.3">
      <c r="A4" s="14">
        <v>46036</v>
      </c>
      <c r="B4" s="15">
        <v>46036.432638888888</v>
      </c>
      <c r="C4" s="16">
        <v>24</v>
      </c>
      <c r="D4" s="16" t="s">
        <v>66</v>
      </c>
      <c r="E4" s="16" t="s">
        <v>8</v>
      </c>
      <c r="F4" s="16" t="s">
        <v>56</v>
      </c>
      <c r="G4" s="16" t="s">
        <v>57</v>
      </c>
      <c r="H4" s="16">
        <v>20</v>
      </c>
      <c r="I4" s="16">
        <v>24.5</v>
      </c>
      <c r="J4" s="16">
        <v>24.564</v>
      </c>
      <c r="K4" s="16">
        <v>0.08</v>
      </c>
      <c r="L4" s="16">
        <v>4.5999999999999999E-2</v>
      </c>
    </row>
    <row r="5" spans="1:12" ht="18" customHeight="1" x14ac:dyDescent="0.3">
      <c r="A5" s="14">
        <v>46036</v>
      </c>
      <c r="B5" s="15">
        <v>46036.430555555555</v>
      </c>
      <c r="C5" s="16">
        <v>11</v>
      </c>
      <c r="D5" s="16" t="s">
        <v>66</v>
      </c>
      <c r="E5" s="16" t="s">
        <v>8</v>
      </c>
      <c r="F5" s="16" t="s">
        <v>50</v>
      </c>
      <c r="G5" s="16" t="s">
        <v>51</v>
      </c>
      <c r="H5" s="16">
        <v>12</v>
      </c>
      <c r="I5" s="16">
        <v>17</v>
      </c>
      <c r="J5" s="16">
        <v>17.077000000000002</v>
      </c>
      <c r="K5" s="16">
        <v>0.08</v>
      </c>
      <c r="L5" s="16">
        <v>5.3999999999999999E-2</v>
      </c>
    </row>
    <row r="6" spans="1:12" ht="18" customHeight="1" x14ac:dyDescent="0.3">
      <c r="A6" s="14">
        <v>46036</v>
      </c>
      <c r="B6" s="15">
        <v>46036.429861111108</v>
      </c>
      <c r="C6" s="16">
        <v>36</v>
      </c>
      <c r="D6" s="16" t="s">
        <v>66</v>
      </c>
      <c r="E6" s="16" t="s">
        <v>8</v>
      </c>
      <c r="F6" s="16" t="s">
        <v>72</v>
      </c>
      <c r="G6" s="16" t="s">
        <v>51</v>
      </c>
      <c r="H6" s="16">
        <v>12</v>
      </c>
      <c r="I6" s="16">
        <v>17</v>
      </c>
      <c r="J6" s="16">
        <v>16.988</v>
      </c>
      <c r="K6" s="16">
        <v>0.08</v>
      </c>
      <c r="L6" s="16">
        <v>8.8999999999999996E-2</v>
      </c>
    </row>
    <row r="7" spans="1:12" ht="18" customHeight="1" x14ac:dyDescent="0.3">
      <c r="A7" s="14">
        <v>46036</v>
      </c>
      <c r="B7" s="15">
        <v>46036.428472222222</v>
      </c>
      <c r="C7" s="16">
        <v>26</v>
      </c>
      <c r="D7" s="16" t="s">
        <v>66</v>
      </c>
      <c r="E7" s="16" t="s">
        <v>8</v>
      </c>
      <c r="F7" s="16" t="s">
        <v>50</v>
      </c>
      <c r="G7" s="16" t="s">
        <v>51</v>
      </c>
      <c r="H7" s="16">
        <v>12</v>
      </c>
      <c r="I7" s="16">
        <v>17</v>
      </c>
      <c r="J7" s="16">
        <v>16.940000000000001</v>
      </c>
      <c r="K7" s="16">
        <v>0.08</v>
      </c>
      <c r="L7" s="16">
        <v>3.5999999999999997E-2</v>
      </c>
    </row>
    <row r="8" spans="1:12" ht="18" customHeight="1" x14ac:dyDescent="0.3">
      <c r="A8" s="14">
        <v>46036</v>
      </c>
      <c r="B8" s="15">
        <v>46036.427083333336</v>
      </c>
      <c r="C8" s="16">
        <v>10</v>
      </c>
      <c r="D8" s="16" t="s">
        <v>66</v>
      </c>
      <c r="E8" s="16" t="s">
        <v>8</v>
      </c>
      <c r="F8" s="16" t="s">
        <v>67</v>
      </c>
      <c r="G8" s="16" t="s">
        <v>68</v>
      </c>
      <c r="H8" s="16">
        <v>10</v>
      </c>
      <c r="I8" s="16">
        <v>24.5</v>
      </c>
      <c r="J8" s="16">
        <v>24.456</v>
      </c>
      <c r="K8" s="16">
        <v>0.08</v>
      </c>
      <c r="L8" s="16">
        <v>3.6999999999999998E-2</v>
      </c>
    </row>
    <row r="9" spans="1:12" ht="18" customHeight="1" x14ac:dyDescent="0.3">
      <c r="A9" s="14">
        <v>46036</v>
      </c>
      <c r="B9" s="15">
        <v>46036.426388888889</v>
      </c>
      <c r="C9" s="16">
        <v>33</v>
      </c>
      <c r="D9" s="16" t="s">
        <v>66</v>
      </c>
      <c r="E9" s="16" t="s">
        <v>8</v>
      </c>
      <c r="F9" s="16" t="s">
        <v>64</v>
      </c>
      <c r="G9" s="16" t="s">
        <v>65</v>
      </c>
      <c r="H9" s="16">
        <v>6</v>
      </c>
      <c r="I9" s="16">
        <v>24.5</v>
      </c>
      <c r="J9" s="16">
        <v>24.466999999999999</v>
      </c>
      <c r="K9" s="16">
        <v>0.08</v>
      </c>
      <c r="L9" s="16">
        <v>6.0999999999999999E-2</v>
      </c>
    </row>
    <row r="10" spans="1:12" ht="18" customHeight="1" x14ac:dyDescent="0.3">
      <c r="A10" s="14">
        <v>46036</v>
      </c>
      <c r="B10" s="15">
        <v>46036.426388888889</v>
      </c>
      <c r="C10" s="16">
        <v>11</v>
      </c>
      <c r="D10" s="16" t="s">
        <v>66</v>
      </c>
      <c r="E10" s="16" t="s">
        <v>8</v>
      </c>
      <c r="F10" s="16" t="s">
        <v>50</v>
      </c>
      <c r="G10" s="16" t="s">
        <v>51</v>
      </c>
      <c r="H10" s="16">
        <v>12</v>
      </c>
      <c r="I10" s="16">
        <v>17</v>
      </c>
      <c r="J10" s="16">
        <v>17.140999999999998</v>
      </c>
      <c r="K10" s="16">
        <v>0.08</v>
      </c>
      <c r="L10" s="16">
        <v>8.7999999999999995E-2</v>
      </c>
    </row>
    <row r="11" spans="1:12" ht="18" customHeight="1" x14ac:dyDescent="0.3">
      <c r="A11" s="14">
        <v>46036</v>
      </c>
      <c r="B11" s="15">
        <v>46036.423611111109</v>
      </c>
      <c r="C11" s="16">
        <v>27</v>
      </c>
      <c r="D11" s="16" t="s">
        <v>66</v>
      </c>
      <c r="E11" s="16" t="s">
        <v>8</v>
      </c>
      <c r="F11" s="16" t="s">
        <v>60</v>
      </c>
      <c r="G11" s="16" t="s">
        <v>61</v>
      </c>
      <c r="H11" s="16">
        <v>1</v>
      </c>
      <c r="I11" s="16">
        <v>24.5</v>
      </c>
      <c r="J11" s="16">
        <v>24.478999999999999</v>
      </c>
      <c r="K11" s="16">
        <v>0.08</v>
      </c>
      <c r="L11" s="16">
        <v>9.7000000000000003E-2</v>
      </c>
    </row>
    <row r="12" spans="1:12" ht="18" customHeight="1" x14ac:dyDescent="0.3">
      <c r="A12" s="14">
        <v>46036</v>
      </c>
      <c r="B12" s="15">
        <v>46036.401388888888</v>
      </c>
      <c r="C12" s="16">
        <v>11</v>
      </c>
      <c r="D12" s="16" t="s">
        <v>66</v>
      </c>
      <c r="E12" s="16" t="s">
        <v>8</v>
      </c>
      <c r="F12" s="16" t="s">
        <v>50</v>
      </c>
      <c r="G12" s="16" t="s">
        <v>51</v>
      </c>
      <c r="H12" s="16">
        <v>12</v>
      </c>
      <c r="I12" s="16">
        <v>17</v>
      </c>
      <c r="J12" s="16">
        <v>17.059999999999999</v>
      </c>
      <c r="K12" s="16">
        <v>0.08</v>
      </c>
      <c r="L12" s="16">
        <v>5.6000000000000001E-2</v>
      </c>
    </row>
    <row r="13" spans="1:12" ht="18" customHeight="1" x14ac:dyDescent="0.3">
      <c r="A13" s="14">
        <v>46036</v>
      </c>
      <c r="B13" s="15">
        <v>46036.399305555555</v>
      </c>
      <c r="C13" s="16">
        <v>20</v>
      </c>
      <c r="D13" s="16" t="s">
        <v>66</v>
      </c>
      <c r="E13" s="16" t="s">
        <v>8</v>
      </c>
      <c r="F13" s="16" t="s">
        <v>69</v>
      </c>
      <c r="G13" s="16" t="s">
        <v>51</v>
      </c>
      <c r="H13" s="16">
        <v>12</v>
      </c>
      <c r="I13" s="16">
        <v>17</v>
      </c>
      <c r="J13" s="16">
        <v>16.869</v>
      </c>
      <c r="K13" s="16">
        <v>0.08</v>
      </c>
      <c r="L13" s="16">
        <v>4.9000000000000002E-2</v>
      </c>
    </row>
    <row r="14" spans="1:12" ht="18" customHeight="1" x14ac:dyDescent="0.3">
      <c r="A14" s="14">
        <v>46036</v>
      </c>
      <c r="B14" s="15">
        <v>46036.396527777775</v>
      </c>
      <c r="C14" s="16">
        <v>31</v>
      </c>
      <c r="D14" s="16" t="s">
        <v>66</v>
      </c>
      <c r="E14" s="16" t="s">
        <v>8</v>
      </c>
      <c r="F14" s="16" t="s">
        <v>102</v>
      </c>
      <c r="G14" s="16" t="s">
        <v>93</v>
      </c>
      <c r="H14" s="16">
        <v>20</v>
      </c>
      <c r="I14" s="16">
        <v>24.5</v>
      </c>
      <c r="J14" s="16">
        <v>24.506</v>
      </c>
      <c r="K14" s="16">
        <v>0.08</v>
      </c>
      <c r="L14" s="16">
        <v>7.4999999999999997E-2</v>
      </c>
    </row>
    <row r="15" spans="1:12" ht="18" customHeight="1" x14ac:dyDescent="0.3">
      <c r="A15" s="14">
        <v>46036</v>
      </c>
      <c r="B15" s="15">
        <v>46036.396527777775</v>
      </c>
      <c r="C15" s="16">
        <v>25</v>
      </c>
      <c r="D15" s="16" t="s">
        <v>66</v>
      </c>
      <c r="E15" s="16" t="s">
        <v>8</v>
      </c>
      <c r="F15" s="16" t="s">
        <v>58</v>
      </c>
      <c r="G15" s="16" t="s">
        <v>59</v>
      </c>
      <c r="H15" s="16">
        <v>2</v>
      </c>
      <c r="I15" s="16">
        <v>24.5</v>
      </c>
      <c r="J15" s="16">
        <v>24.446999999999999</v>
      </c>
      <c r="K15" s="16">
        <v>0.08</v>
      </c>
      <c r="L15" s="16">
        <v>2.4E-2</v>
      </c>
    </row>
    <row r="16" spans="1:12" ht="18" customHeight="1" x14ac:dyDescent="0.3">
      <c r="A16" s="14">
        <v>46036</v>
      </c>
      <c r="B16" s="15">
        <v>46036.387499999997</v>
      </c>
      <c r="C16" s="16">
        <v>26</v>
      </c>
      <c r="D16" s="16" t="s">
        <v>66</v>
      </c>
      <c r="E16" s="16" t="s">
        <v>8</v>
      </c>
      <c r="F16" s="16" t="s">
        <v>50</v>
      </c>
      <c r="G16" s="16" t="s">
        <v>51</v>
      </c>
      <c r="H16" s="16">
        <v>12</v>
      </c>
      <c r="I16" s="16">
        <v>17</v>
      </c>
      <c r="J16" s="16">
        <v>16.920999999999999</v>
      </c>
      <c r="K16" s="16">
        <v>0.08</v>
      </c>
      <c r="L16" s="16">
        <v>7.3999999999999996E-2</v>
      </c>
    </row>
    <row r="17" spans="1:12" ht="18" customHeight="1" x14ac:dyDescent="0.3">
      <c r="A17" s="14">
        <v>46036</v>
      </c>
      <c r="B17" s="15">
        <v>46036.386805555558</v>
      </c>
      <c r="C17" s="16">
        <v>11</v>
      </c>
      <c r="D17" s="16" t="s">
        <v>66</v>
      </c>
      <c r="E17" s="16" t="s">
        <v>8</v>
      </c>
      <c r="F17" s="16" t="s">
        <v>50</v>
      </c>
      <c r="G17" s="16" t="s">
        <v>51</v>
      </c>
      <c r="H17" s="16">
        <v>12</v>
      </c>
      <c r="I17" s="16">
        <v>17</v>
      </c>
      <c r="J17" s="16">
        <v>17.097000000000001</v>
      </c>
      <c r="K17" s="16">
        <v>0.08</v>
      </c>
      <c r="L17" s="16">
        <v>7.2999999999999995E-2</v>
      </c>
    </row>
    <row r="18" spans="1:12" ht="18" customHeight="1" x14ac:dyDescent="0.3">
      <c r="A18" s="14">
        <v>46036</v>
      </c>
      <c r="B18" s="15">
        <v>46036.384722222225</v>
      </c>
      <c r="C18" s="16">
        <v>36</v>
      </c>
      <c r="D18" s="16" t="s">
        <v>66</v>
      </c>
      <c r="E18" s="16" t="s">
        <v>8</v>
      </c>
      <c r="F18" s="16" t="s">
        <v>72</v>
      </c>
      <c r="G18" s="16" t="s">
        <v>51</v>
      </c>
      <c r="H18" s="16">
        <v>12</v>
      </c>
      <c r="I18" s="16">
        <v>17</v>
      </c>
      <c r="J18" s="16">
        <v>16.954000000000001</v>
      </c>
      <c r="K18" s="16">
        <v>0.08</v>
      </c>
      <c r="L18" s="16">
        <v>0.10199999999999999</v>
      </c>
    </row>
    <row r="19" spans="1:12" ht="18" customHeight="1" x14ac:dyDescent="0.3">
      <c r="A19" s="14">
        <v>46036</v>
      </c>
      <c r="B19" s="15">
        <v>46036.383333333331</v>
      </c>
      <c r="C19" s="16">
        <v>31</v>
      </c>
      <c r="D19" s="16" t="s">
        <v>66</v>
      </c>
      <c r="E19" s="16" t="s">
        <v>8</v>
      </c>
      <c r="F19" s="16" t="s">
        <v>102</v>
      </c>
      <c r="G19" s="16" t="s">
        <v>93</v>
      </c>
      <c r="H19" s="16">
        <v>20</v>
      </c>
      <c r="I19" s="16">
        <v>24.5</v>
      </c>
      <c r="J19" s="16">
        <v>24.512</v>
      </c>
      <c r="K19" s="16">
        <v>0.08</v>
      </c>
      <c r="L19" s="16">
        <v>7.3999999999999996E-2</v>
      </c>
    </row>
    <row r="20" spans="1:12" ht="18" customHeight="1" x14ac:dyDescent="0.3">
      <c r="A20" s="14">
        <v>46036</v>
      </c>
      <c r="B20" s="15">
        <v>46036.381944444445</v>
      </c>
      <c r="C20" s="16">
        <v>9</v>
      </c>
      <c r="D20" s="16" t="s">
        <v>66</v>
      </c>
      <c r="E20" s="16" t="s">
        <v>8</v>
      </c>
      <c r="F20" s="16" t="s">
        <v>50</v>
      </c>
      <c r="G20" s="16" t="s">
        <v>51</v>
      </c>
      <c r="H20" s="16">
        <v>12</v>
      </c>
      <c r="I20" s="16">
        <v>17</v>
      </c>
      <c r="J20" s="16">
        <v>16.943999999999999</v>
      </c>
      <c r="K20" s="16">
        <v>0.08</v>
      </c>
      <c r="L20" s="16">
        <v>4.7E-2</v>
      </c>
    </row>
    <row r="21" spans="1:12" ht="18" customHeight="1" x14ac:dyDescent="0.3">
      <c r="A21" s="14">
        <v>46036</v>
      </c>
      <c r="B21" s="15">
        <v>46036.381944444445</v>
      </c>
      <c r="C21" s="16">
        <v>27</v>
      </c>
      <c r="D21" s="16" t="s">
        <v>66</v>
      </c>
      <c r="E21" s="16" t="s">
        <v>8</v>
      </c>
      <c r="F21" s="16" t="s">
        <v>60</v>
      </c>
      <c r="G21" s="16" t="s">
        <v>61</v>
      </c>
      <c r="H21" s="16">
        <v>1</v>
      </c>
      <c r="I21" s="16">
        <v>24.5</v>
      </c>
      <c r="J21" s="16">
        <v>24.486999999999998</v>
      </c>
      <c r="K21" s="16">
        <v>0.08</v>
      </c>
      <c r="L21" s="16">
        <v>0.05</v>
      </c>
    </row>
    <row r="22" spans="1:12" ht="18" customHeight="1" x14ac:dyDescent="0.3">
      <c r="A22" s="14">
        <v>46036</v>
      </c>
      <c r="B22" s="15">
        <v>46036.380555555559</v>
      </c>
      <c r="C22" s="16">
        <v>24</v>
      </c>
      <c r="D22" s="16" t="s">
        <v>66</v>
      </c>
      <c r="E22" s="16" t="s">
        <v>8</v>
      </c>
      <c r="F22" s="16" t="s">
        <v>56</v>
      </c>
      <c r="G22" s="16" t="s">
        <v>57</v>
      </c>
      <c r="H22" s="16">
        <v>20</v>
      </c>
      <c r="I22" s="16">
        <v>24.5</v>
      </c>
      <c r="J22" s="16">
        <v>24.544</v>
      </c>
      <c r="K22" s="16">
        <v>0.08</v>
      </c>
      <c r="L22" s="16">
        <v>4.5999999999999999E-2</v>
      </c>
    </row>
    <row r="23" spans="1:12" ht="18" customHeight="1" x14ac:dyDescent="0.3">
      <c r="A23" s="14">
        <v>46036</v>
      </c>
      <c r="B23" s="15">
        <v>46036.380555555559</v>
      </c>
      <c r="C23" s="16">
        <v>33</v>
      </c>
      <c r="D23" s="16" t="s">
        <v>66</v>
      </c>
      <c r="E23" s="16" t="s">
        <v>8</v>
      </c>
      <c r="F23" s="16" t="s">
        <v>64</v>
      </c>
      <c r="G23" s="16" t="s">
        <v>65</v>
      </c>
      <c r="H23" s="16">
        <v>6</v>
      </c>
      <c r="I23" s="16">
        <v>24.5</v>
      </c>
      <c r="J23" s="16">
        <v>24.507000000000001</v>
      </c>
      <c r="K23" s="16">
        <v>0.08</v>
      </c>
      <c r="L23" s="16">
        <v>4.4999999999999998E-2</v>
      </c>
    </row>
    <row r="24" spans="1:12" ht="18" customHeight="1" x14ac:dyDescent="0.3">
      <c r="A24" s="14">
        <v>46036</v>
      </c>
      <c r="B24" s="15">
        <v>46036.379166666666</v>
      </c>
      <c r="C24" s="16">
        <v>25</v>
      </c>
      <c r="D24" s="16" t="s">
        <v>66</v>
      </c>
      <c r="E24" s="16" t="s">
        <v>8</v>
      </c>
      <c r="F24" s="16" t="s">
        <v>58</v>
      </c>
      <c r="G24" s="16" t="s">
        <v>59</v>
      </c>
      <c r="H24" s="16">
        <v>2</v>
      </c>
      <c r="I24" s="16">
        <v>24.5</v>
      </c>
      <c r="J24" s="16">
        <v>24.449000000000002</v>
      </c>
      <c r="K24" s="16">
        <v>0.08</v>
      </c>
      <c r="L24" s="16">
        <v>3.9E-2</v>
      </c>
    </row>
    <row r="25" spans="1:12" ht="18" customHeight="1" x14ac:dyDescent="0.3">
      <c r="A25" s="14">
        <v>46036</v>
      </c>
      <c r="B25" s="15">
        <v>46036.378472222219</v>
      </c>
      <c r="C25" s="16">
        <v>10</v>
      </c>
      <c r="D25" s="16" t="s">
        <v>66</v>
      </c>
      <c r="E25" s="16" t="s">
        <v>8</v>
      </c>
      <c r="F25" s="16" t="s">
        <v>67</v>
      </c>
      <c r="G25" s="16" t="s">
        <v>68</v>
      </c>
      <c r="H25" s="16">
        <v>10</v>
      </c>
      <c r="I25" s="16">
        <v>24.5</v>
      </c>
      <c r="J25" s="16">
        <v>24.491</v>
      </c>
      <c r="K25" s="16">
        <v>0.08</v>
      </c>
      <c r="L25" s="16">
        <v>7.5999999999999998E-2</v>
      </c>
    </row>
    <row r="26" spans="1:12" ht="18" customHeight="1" x14ac:dyDescent="0.3">
      <c r="A26" s="14">
        <v>46036</v>
      </c>
      <c r="B26" s="15">
        <v>46036.376388888886</v>
      </c>
      <c r="C26" s="16">
        <v>38</v>
      </c>
      <c r="D26" s="16" t="s">
        <v>66</v>
      </c>
      <c r="E26" s="16" t="s">
        <v>8</v>
      </c>
      <c r="F26" s="16" t="s">
        <v>52</v>
      </c>
      <c r="G26" s="16" t="s">
        <v>53</v>
      </c>
      <c r="H26" s="16">
        <v>5</v>
      </c>
      <c r="I26" s="16">
        <v>24.5</v>
      </c>
      <c r="J26" s="16">
        <v>24.536000000000001</v>
      </c>
      <c r="K26" s="16">
        <v>0.08</v>
      </c>
      <c r="L26" s="16">
        <v>3.7999999999999999E-2</v>
      </c>
    </row>
    <row r="27" spans="1:12" ht="18" customHeight="1" x14ac:dyDescent="0.3">
      <c r="A27" s="14">
        <v>46036</v>
      </c>
      <c r="B27" s="15">
        <v>46036.373611111114</v>
      </c>
      <c r="C27" s="16">
        <v>9</v>
      </c>
      <c r="D27" s="16" t="s">
        <v>66</v>
      </c>
      <c r="E27" s="16" t="s">
        <v>8</v>
      </c>
      <c r="F27" s="16" t="s">
        <v>50</v>
      </c>
      <c r="G27" s="16" t="s">
        <v>51</v>
      </c>
      <c r="H27" s="16">
        <v>12</v>
      </c>
      <c r="I27" s="16">
        <v>17</v>
      </c>
      <c r="J27" s="16">
        <v>16.989000000000001</v>
      </c>
      <c r="K27" s="16">
        <v>0.08</v>
      </c>
      <c r="L27" s="16">
        <v>2.8000000000000001E-2</v>
      </c>
    </row>
    <row r="28" spans="1:12" ht="18" customHeight="1" x14ac:dyDescent="0.3">
      <c r="A28" s="14">
        <v>46036</v>
      </c>
      <c r="B28" s="15">
        <v>46036.37222222222</v>
      </c>
      <c r="C28" s="16">
        <v>31</v>
      </c>
      <c r="D28" s="16" t="s">
        <v>66</v>
      </c>
      <c r="E28" s="16" t="s">
        <v>8</v>
      </c>
      <c r="F28" s="16" t="s">
        <v>102</v>
      </c>
      <c r="G28" s="16" t="s">
        <v>93</v>
      </c>
      <c r="H28" s="16">
        <v>20</v>
      </c>
      <c r="I28" s="16">
        <v>24.5</v>
      </c>
      <c r="J28" s="16">
        <v>24.548999999999999</v>
      </c>
      <c r="K28" s="16">
        <v>0.08</v>
      </c>
      <c r="L28" s="16">
        <v>2.8000000000000001E-2</v>
      </c>
    </row>
    <row r="29" spans="1:12" ht="18" customHeight="1" x14ac:dyDescent="0.3">
      <c r="A29" s="14">
        <v>46036</v>
      </c>
      <c r="B29" s="15">
        <v>46036.370833333334</v>
      </c>
      <c r="C29" s="16">
        <v>36</v>
      </c>
      <c r="D29" s="16" t="s">
        <v>66</v>
      </c>
      <c r="E29" s="16" t="s">
        <v>8</v>
      </c>
      <c r="F29" s="16" t="s">
        <v>72</v>
      </c>
      <c r="G29" s="16" t="s">
        <v>51</v>
      </c>
      <c r="H29" s="16">
        <v>12</v>
      </c>
      <c r="I29" s="16">
        <v>17</v>
      </c>
      <c r="J29" s="16">
        <v>16.945</v>
      </c>
      <c r="K29" s="16">
        <v>0.08</v>
      </c>
      <c r="L29" s="16">
        <v>5.1999999999999998E-2</v>
      </c>
    </row>
    <row r="30" spans="1:12" ht="18" customHeight="1" x14ac:dyDescent="0.3">
      <c r="A30" s="14">
        <v>46036</v>
      </c>
      <c r="B30" s="15">
        <v>46036.367361111108</v>
      </c>
      <c r="C30" s="16">
        <v>31</v>
      </c>
      <c r="D30" s="16" t="s">
        <v>66</v>
      </c>
      <c r="E30" s="16" t="s">
        <v>8</v>
      </c>
      <c r="F30" s="16" t="s">
        <v>102</v>
      </c>
      <c r="G30" s="16" t="s">
        <v>93</v>
      </c>
      <c r="H30" s="16">
        <v>20</v>
      </c>
      <c r="I30" s="16">
        <v>24.5</v>
      </c>
      <c r="J30" s="16">
        <v>24.678999999999998</v>
      </c>
      <c r="K30" s="16">
        <v>0.08</v>
      </c>
      <c r="L30" s="16">
        <v>7.1999999999999995E-2</v>
      </c>
    </row>
    <row r="31" spans="1:12" ht="18" customHeight="1" x14ac:dyDescent="0.3">
      <c r="A31" s="14">
        <v>46036</v>
      </c>
      <c r="B31" s="15">
        <v>46036.364583333336</v>
      </c>
      <c r="C31" s="16">
        <v>25</v>
      </c>
      <c r="D31" s="16" t="s">
        <v>66</v>
      </c>
      <c r="E31" s="16" t="s">
        <v>8</v>
      </c>
      <c r="F31" s="16" t="s">
        <v>58</v>
      </c>
      <c r="G31" s="16" t="s">
        <v>59</v>
      </c>
      <c r="H31" s="16">
        <v>2</v>
      </c>
      <c r="I31" s="16">
        <v>24.5</v>
      </c>
      <c r="J31" s="16">
        <v>24.457000000000001</v>
      </c>
      <c r="K31" s="16">
        <v>0.08</v>
      </c>
      <c r="L31" s="16">
        <v>6.0999999999999999E-2</v>
      </c>
    </row>
    <row r="32" spans="1:12" ht="18" customHeight="1" x14ac:dyDescent="0.3">
      <c r="A32" s="14">
        <v>46036</v>
      </c>
      <c r="B32" s="15">
        <v>46036.363194444442</v>
      </c>
      <c r="C32" s="16">
        <v>31</v>
      </c>
      <c r="D32" s="16" t="s">
        <v>66</v>
      </c>
      <c r="E32" s="16" t="s">
        <v>8</v>
      </c>
      <c r="F32" s="16" t="s">
        <v>102</v>
      </c>
      <c r="G32" s="16" t="s">
        <v>93</v>
      </c>
      <c r="H32" s="16">
        <v>20</v>
      </c>
      <c r="I32" s="16">
        <v>24.5</v>
      </c>
      <c r="J32" s="16">
        <v>24.725000000000001</v>
      </c>
      <c r="K32" s="16">
        <v>0.08</v>
      </c>
      <c r="L32" s="16">
        <v>8.2000000000000003E-2</v>
      </c>
    </row>
    <row r="33" spans="1:12" ht="18" customHeight="1" x14ac:dyDescent="0.3">
      <c r="A33" s="14">
        <v>46036</v>
      </c>
      <c r="B33" s="15">
        <v>46036.359722222223</v>
      </c>
      <c r="C33" s="16">
        <v>31</v>
      </c>
      <c r="D33" s="16" t="s">
        <v>66</v>
      </c>
      <c r="E33" s="16" t="s">
        <v>8</v>
      </c>
      <c r="F33" s="16" t="s">
        <v>102</v>
      </c>
      <c r="G33" s="16" t="s">
        <v>93</v>
      </c>
      <c r="H33" s="16">
        <v>20</v>
      </c>
      <c r="I33" s="16">
        <v>24.5</v>
      </c>
      <c r="J33" s="16">
        <v>24.37</v>
      </c>
      <c r="K33" s="16">
        <v>0.08</v>
      </c>
      <c r="L33" s="16">
        <v>3.6999999999999998E-2</v>
      </c>
    </row>
    <row r="34" spans="1:12" ht="18" customHeight="1" x14ac:dyDescent="0.3">
      <c r="A34" s="14">
        <v>46036</v>
      </c>
      <c r="B34" s="15">
        <v>46036.354166666664</v>
      </c>
      <c r="C34" s="16">
        <v>20</v>
      </c>
      <c r="D34" s="16" t="s">
        <v>66</v>
      </c>
      <c r="E34" s="16" t="s">
        <v>8</v>
      </c>
      <c r="F34" s="16" t="s">
        <v>69</v>
      </c>
      <c r="G34" s="16" t="s">
        <v>51</v>
      </c>
      <c r="H34" s="16">
        <v>12</v>
      </c>
      <c r="I34" s="16">
        <v>17</v>
      </c>
      <c r="J34" s="16">
        <v>16.893000000000001</v>
      </c>
      <c r="K34" s="16">
        <v>0.08</v>
      </c>
      <c r="L34" s="16">
        <v>7.2999999999999995E-2</v>
      </c>
    </row>
    <row r="35" spans="1:12" ht="18" customHeight="1" x14ac:dyDescent="0.3">
      <c r="A35" s="14">
        <v>46036</v>
      </c>
      <c r="B35" s="15">
        <v>46036.350694444445</v>
      </c>
      <c r="C35" s="16">
        <v>11</v>
      </c>
      <c r="D35" s="16" t="s">
        <v>66</v>
      </c>
      <c r="E35" s="16" t="s">
        <v>8</v>
      </c>
      <c r="F35" s="16" t="s">
        <v>50</v>
      </c>
      <c r="G35" s="16" t="s">
        <v>51</v>
      </c>
      <c r="H35" s="16">
        <v>12</v>
      </c>
      <c r="I35" s="16">
        <v>17</v>
      </c>
      <c r="J35" s="16">
        <v>16.869</v>
      </c>
      <c r="K35" s="16">
        <v>0.08</v>
      </c>
      <c r="L35" s="16">
        <v>7.0999999999999994E-2</v>
      </c>
    </row>
    <row r="36" spans="1:12" ht="18" customHeight="1" x14ac:dyDescent="0.3">
      <c r="A36" s="14">
        <v>46036</v>
      </c>
      <c r="B36" s="15">
        <v>46036.345833333333</v>
      </c>
      <c r="C36" s="16">
        <v>38</v>
      </c>
      <c r="D36" s="16" t="s">
        <v>66</v>
      </c>
      <c r="E36" s="16" t="s">
        <v>8</v>
      </c>
      <c r="F36" s="16" t="s">
        <v>52</v>
      </c>
      <c r="G36" s="16" t="s">
        <v>53</v>
      </c>
      <c r="H36" s="16">
        <v>5</v>
      </c>
      <c r="I36" s="16">
        <v>24.5</v>
      </c>
      <c r="J36" s="16">
        <v>24.556999999999999</v>
      </c>
      <c r="K36" s="16">
        <v>0.08</v>
      </c>
      <c r="L36" s="16">
        <v>7.9000000000000001E-2</v>
      </c>
    </row>
    <row r="37" spans="1:12" ht="18" customHeight="1" x14ac:dyDescent="0.3">
      <c r="A37" s="14">
        <v>46036</v>
      </c>
      <c r="B37" s="15">
        <v>46036.343055555553</v>
      </c>
      <c r="C37" s="16">
        <v>10</v>
      </c>
      <c r="D37" s="16" t="s">
        <v>66</v>
      </c>
      <c r="E37" s="16" t="s">
        <v>8</v>
      </c>
      <c r="F37" s="16" t="s">
        <v>67</v>
      </c>
      <c r="G37" s="16" t="s">
        <v>68</v>
      </c>
      <c r="H37" s="16">
        <v>10</v>
      </c>
      <c r="I37" s="16">
        <v>24.5</v>
      </c>
      <c r="J37" s="16">
        <v>24.544</v>
      </c>
      <c r="K37" s="16">
        <v>0.08</v>
      </c>
      <c r="L37" s="16">
        <v>5.8999999999999997E-2</v>
      </c>
    </row>
    <row r="38" spans="1:12" ht="18" customHeight="1" x14ac:dyDescent="0.3">
      <c r="A38" s="14">
        <v>46036</v>
      </c>
      <c r="B38" s="15">
        <v>46036.34097222222</v>
      </c>
      <c r="C38" s="16">
        <v>27</v>
      </c>
      <c r="D38" s="16" t="s">
        <v>66</v>
      </c>
      <c r="E38" s="16" t="s">
        <v>8</v>
      </c>
      <c r="F38" s="16" t="s">
        <v>60</v>
      </c>
      <c r="G38" s="16" t="s">
        <v>61</v>
      </c>
      <c r="H38" s="16">
        <v>1</v>
      </c>
      <c r="I38" s="16">
        <v>24.5</v>
      </c>
      <c r="J38" s="16">
        <v>24.518999999999998</v>
      </c>
      <c r="K38" s="16">
        <v>0.08</v>
      </c>
      <c r="L38" s="16">
        <v>4.3999999999999997E-2</v>
      </c>
    </row>
    <row r="39" spans="1:12" ht="18" customHeight="1" x14ac:dyDescent="0.3">
      <c r="A39" s="14">
        <v>46036</v>
      </c>
      <c r="B39" s="15">
        <v>46036.339583333334</v>
      </c>
      <c r="C39" s="16">
        <v>10</v>
      </c>
      <c r="D39" s="16" t="s">
        <v>66</v>
      </c>
      <c r="E39" s="16" t="s">
        <v>8</v>
      </c>
      <c r="F39" s="16" t="s">
        <v>67</v>
      </c>
      <c r="G39" s="16" t="s">
        <v>68</v>
      </c>
      <c r="H39" s="16">
        <v>10</v>
      </c>
      <c r="I39" s="16">
        <v>24.5</v>
      </c>
      <c r="J39" s="16">
        <v>24.574999999999999</v>
      </c>
      <c r="K39" s="16">
        <v>0.08</v>
      </c>
      <c r="L39" s="16">
        <v>3.3000000000000002E-2</v>
      </c>
    </row>
    <row r="40" spans="1:12" ht="18" customHeight="1" x14ac:dyDescent="0.3">
      <c r="A40" s="14">
        <v>46036</v>
      </c>
      <c r="B40" s="15">
        <v>46036.338194444441</v>
      </c>
      <c r="C40" s="16">
        <v>27</v>
      </c>
      <c r="D40" s="16" t="s">
        <v>66</v>
      </c>
      <c r="E40" s="16" t="s">
        <v>8</v>
      </c>
      <c r="F40" s="16" t="s">
        <v>60</v>
      </c>
      <c r="G40" s="16" t="s">
        <v>61</v>
      </c>
      <c r="H40" s="16">
        <v>1</v>
      </c>
      <c r="I40" s="16">
        <v>24.5</v>
      </c>
      <c r="J40" s="16">
        <v>24.463999999999999</v>
      </c>
      <c r="K40" s="16">
        <v>0.08</v>
      </c>
      <c r="L40" s="16">
        <v>3.1E-2</v>
      </c>
    </row>
    <row r="41" spans="1:12" ht="18" customHeight="1" x14ac:dyDescent="0.3">
      <c r="A41" s="14">
        <v>46036</v>
      </c>
      <c r="B41" s="15">
        <v>46036.336805555555</v>
      </c>
      <c r="C41" s="16">
        <v>24</v>
      </c>
      <c r="D41" s="16" t="s">
        <v>66</v>
      </c>
      <c r="E41" s="16" t="s">
        <v>8</v>
      </c>
      <c r="F41" s="16" t="s">
        <v>56</v>
      </c>
      <c r="G41" s="16" t="s">
        <v>57</v>
      </c>
      <c r="H41" s="16">
        <v>20</v>
      </c>
      <c r="I41" s="16">
        <v>24.5</v>
      </c>
      <c r="J41" s="16">
        <v>24.559000000000001</v>
      </c>
      <c r="K41" s="16">
        <v>0.08</v>
      </c>
      <c r="L41" s="16">
        <v>0.05</v>
      </c>
    </row>
    <row r="42" spans="1:12" ht="18" customHeight="1" x14ac:dyDescent="0.3">
      <c r="A42" s="14">
        <v>46036</v>
      </c>
      <c r="B42" s="15">
        <v>46036.336111111108</v>
      </c>
      <c r="C42" s="16">
        <v>33</v>
      </c>
      <c r="D42" s="16" t="s">
        <v>66</v>
      </c>
      <c r="E42" s="16" t="s">
        <v>8</v>
      </c>
      <c r="F42" s="16" t="s">
        <v>64</v>
      </c>
      <c r="G42" s="16" t="s">
        <v>65</v>
      </c>
      <c r="H42" s="16">
        <v>6</v>
      </c>
      <c r="I42" s="16">
        <v>24.5</v>
      </c>
      <c r="J42" s="16">
        <v>24.515000000000001</v>
      </c>
      <c r="K42" s="16">
        <v>0.08</v>
      </c>
      <c r="L42" s="16">
        <v>7.1999999999999995E-2</v>
      </c>
    </row>
    <row r="43" spans="1:12" ht="18" customHeight="1" x14ac:dyDescent="0.3">
      <c r="A43" s="14">
        <v>46036</v>
      </c>
      <c r="B43" s="15">
        <v>46036.320833333331</v>
      </c>
      <c r="C43" s="16">
        <v>20</v>
      </c>
      <c r="D43" s="16" t="s">
        <v>66</v>
      </c>
      <c r="E43" s="16" t="s">
        <v>8</v>
      </c>
      <c r="F43" s="16" t="s">
        <v>69</v>
      </c>
      <c r="G43" s="16" t="s">
        <v>51</v>
      </c>
      <c r="H43" s="16">
        <v>12</v>
      </c>
      <c r="I43" s="16">
        <v>17</v>
      </c>
      <c r="J43" s="16">
        <v>17.012</v>
      </c>
      <c r="K43" s="16">
        <v>0.08</v>
      </c>
      <c r="L43" s="16">
        <v>6.3E-2</v>
      </c>
    </row>
    <row r="44" spans="1:12" ht="18" customHeight="1" x14ac:dyDescent="0.3">
      <c r="A44" s="14">
        <v>46036</v>
      </c>
      <c r="B44" s="15">
        <v>46036.319444444445</v>
      </c>
      <c r="C44" s="16">
        <v>9</v>
      </c>
      <c r="D44" s="16" t="s">
        <v>66</v>
      </c>
      <c r="E44" s="16" t="s">
        <v>8</v>
      </c>
      <c r="F44" s="16" t="s">
        <v>50</v>
      </c>
      <c r="G44" s="16" t="s">
        <v>51</v>
      </c>
      <c r="H44" s="16">
        <v>12</v>
      </c>
      <c r="I44" s="16">
        <v>17</v>
      </c>
      <c r="J44" s="16">
        <v>17.003</v>
      </c>
      <c r="K44" s="16">
        <v>0.08</v>
      </c>
      <c r="L44" s="16">
        <v>8.8999999999999996E-2</v>
      </c>
    </row>
    <row r="45" spans="1:12" ht="18" customHeight="1" x14ac:dyDescent="0.3">
      <c r="A45" s="14">
        <v>46036</v>
      </c>
      <c r="B45" s="15">
        <v>46036.318749999999</v>
      </c>
      <c r="C45" s="16">
        <v>26</v>
      </c>
      <c r="D45" s="16" t="s">
        <v>66</v>
      </c>
      <c r="E45" s="16" t="s">
        <v>8</v>
      </c>
      <c r="F45" s="16" t="s">
        <v>50</v>
      </c>
      <c r="G45" s="16" t="s">
        <v>51</v>
      </c>
      <c r="H45" s="16">
        <v>12</v>
      </c>
      <c r="I45" s="16">
        <v>17</v>
      </c>
      <c r="J45" s="16">
        <v>16.933</v>
      </c>
      <c r="K45" s="16">
        <v>0.08</v>
      </c>
      <c r="L45" s="16">
        <v>5.1999999999999998E-2</v>
      </c>
    </row>
    <row r="46" spans="1:12" ht="18" customHeight="1" x14ac:dyDescent="0.3">
      <c r="A46" s="14">
        <v>46036</v>
      </c>
      <c r="B46" s="15">
        <v>46036.31527777778</v>
      </c>
      <c r="C46" s="16">
        <v>26</v>
      </c>
      <c r="D46" s="16" t="s">
        <v>66</v>
      </c>
      <c r="E46" s="16" t="s">
        <v>8</v>
      </c>
      <c r="F46" s="16" t="s">
        <v>50</v>
      </c>
      <c r="G46" s="16" t="s">
        <v>51</v>
      </c>
      <c r="H46" s="16">
        <v>12</v>
      </c>
      <c r="I46" s="16">
        <v>17</v>
      </c>
      <c r="J46" s="16">
        <v>16.78</v>
      </c>
      <c r="K46" s="16">
        <v>0.08</v>
      </c>
      <c r="L46" s="16">
        <v>3.4000000000000002E-2</v>
      </c>
    </row>
    <row r="47" spans="1:12" ht="18" customHeight="1" x14ac:dyDescent="0.3">
      <c r="A47" s="14">
        <v>46036</v>
      </c>
      <c r="B47" s="15">
        <v>46036.313888888886</v>
      </c>
      <c r="C47" s="16">
        <v>25</v>
      </c>
      <c r="D47" s="16" t="s">
        <v>66</v>
      </c>
      <c r="E47" s="16" t="s">
        <v>8</v>
      </c>
      <c r="F47" s="16" t="s">
        <v>58</v>
      </c>
      <c r="G47" s="16" t="s">
        <v>59</v>
      </c>
      <c r="H47" s="16">
        <v>2</v>
      </c>
      <c r="I47" s="16">
        <v>24.5</v>
      </c>
      <c r="J47" s="16">
        <v>24.478000000000002</v>
      </c>
      <c r="K47" s="16">
        <v>0.08</v>
      </c>
      <c r="L47" s="16">
        <v>2.5000000000000001E-2</v>
      </c>
    </row>
    <row r="48" spans="1:12" ht="18" customHeight="1" x14ac:dyDescent="0.3">
      <c r="A48" s="14">
        <v>46036</v>
      </c>
      <c r="B48" s="15">
        <v>46036.3125</v>
      </c>
      <c r="C48" s="16">
        <v>25</v>
      </c>
      <c r="D48" s="16" t="s">
        <v>66</v>
      </c>
      <c r="E48" s="16" t="s">
        <v>8</v>
      </c>
      <c r="F48" s="16" t="s">
        <v>58</v>
      </c>
      <c r="G48" s="16" t="s">
        <v>59</v>
      </c>
      <c r="H48" s="16">
        <v>2</v>
      </c>
      <c r="I48" s="16">
        <v>24.5</v>
      </c>
      <c r="J48" s="16">
        <v>24.456</v>
      </c>
      <c r="K48" s="16">
        <v>0.08</v>
      </c>
      <c r="L48" s="16">
        <v>3.6999999999999998E-2</v>
      </c>
    </row>
    <row r="49" spans="1:12" ht="18" customHeight="1" x14ac:dyDescent="0.3">
      <c r="A49" s="14">
        <v>46036</v>
      </c>
      <c r="B49" s="15">
        <v>46036.311111111114</v>
      </c>
      <c r="C49" s="16">
        <v>11</v>
      </c>
      <c r="D49" s="16" t="s">
        <v>66</v>
      </c>
      <c r="E49" s="16" t="s">
        <v>8</v>
      </c>
      <c r="F49" s="16" t="s">
        <v>50</v>
      </c>
      <c r="G49" s="16" t="s">
        <v>51</v>
      </c>
      <c r="H49" s="16">
        <v>12</v>
      </c>
      <c r="I49" s="16">
        <v>17</v>
      </c>
      <c r="J49" s="16">
        <v>16.978000000000002</v>
      </c>
      <c r="K49" s="16">
        <v>0.08</v>
      </c>
      <c r="L49" s="16">
        <v>0.105</v>
      </c>
    </row>
    <row r="50" spans="1:12" ht="18" customHeight="1" x14ac:dyDescent="0.3">
      <c r="A50" s="14">
        <v>46036</v>
      </c>
      <c r="B50" s="15">
        <v>46036.305555555555</v>
      </c>
      <c r="C50" s="16">
        <v>11</v>
      </c>
      <c r="D50" s="16" t="s">
        <v>66</v>
      </c>
      <c r="E50" s="16" t="s">
        <v>8</v>
      </c>
      <c r="F50" s="16" t="s">
        <v>50</v>
      </c>
      <c r="G50" s="16" t="s">
        <v>51</v>
      </c>
      <c r="H50" s="16">
        <v>12</v>
      </c>
      <c r="I50" s="16">
        <v>17</v>
      </c>
      <c r="J50" s="16">
        <v>17.010999999999999</v>
      </c>
      <c r="K50" s="16">
        <v>0.08</v>
      </c>
      <c r="L50" s="16">
        <v>5.5E-2</v>
      </c>
    </row>
    <row r="51" spans="1:12" ht="18" customHeight="1" x14ac:dyDescent="0.3">
      <c r="A51" s="14">
        <v>46036</v>
      </c>
      <c r="B51" s="15">
        <v>46036.304166666669</v>
      </c>
      <c r="C51" s="16">
        <v>36</v>
      </c>
      <c r="D51" s="16" t="s">
        <v>66</v>
      </c>
      <c r="E51" s="16" t="s">
        <v>8</v>
      </c>
      <c r="F51" s="16" t="s">
        <v>72</v>
      </c>
      <c r="G51" s="16" t="s">
        <v>51</v>
      </c>
      <c r="H51" s="16">
        <v>12</v>
      </c>
      <c r="I51" s="16">
        <v>17</v>
      </c>
      <c r="J51" s="16">
        <v>17.030999999999999</v>
      </c>
      <c r="K51" s="16">
        <v>0.08</v>
      </c>
      <c r="L51" s="16">
        <v>7.6999999999999999E-2</v>
      </c>
    </row>
    <row r="52" spans="1:12" ht="18" customHeight="1" x14ac:dyDescent="0.3">
      <c r="A52" s="14">
        <v>46036</v>
      </c>
      <c r="B52" s="15">
        <v>46036.304166666669</v>
      </c>
      <c r="C52" s="16">
        <v>20</v>
      </c>
      <c r="D52" s="16" t="s">
        <v>66</v>
      </c>
      <c r="E52" s="16" t="s">
        <v>8</v>
      </c>
      <c r="F52" s="16" t="s">
        <v>69</v>
      </c>
      <c r="G52" s="16" t="s">
        <v>51</v>
      </c>
      <c r="H52" s="16">
        <v>12</v>
      </c>
      <c r="I52" s="16">
        <v>17</v>
      </c>
      <c r="J52" s="16">
        <v>17.044</v>
      </c>
      <c r="K52" s="16">
        <v>0.08</v>
      </c>
      <c r="L52" s="16">
        <v>5.6000000000000001E-2</v>
      </c>
    </row>
    <row r="53" spans="1:12" ht="18" customHeight="1" x14ac:dyDescent="0.3">
      <c r="A53" s="14">
        <v>46036</v>
      </c>
      <c r="B53" s="15">
        <v>46036.302777777775</v>
      </c>
      <c r="C53" s="16">
        <v>24</v>
      </c>
      <c r="D53" s="16" t="s">
        <v>66</v>
      </c>
      <c r="E53" s="16" t="s">
        <v>8</v>
      </c>
      <c r="F53" s="16" t="s">
        <v>56</v>
      </c>
      <c r="G53" s="16" t="s">
        <v>57</v>
      </c>
      <c r="H53" s="16">
        <v>20</v>
      </c>
      <c r="I53" s="16">
        <v>24.5</v>
      </c>
      <c r="J53" s="16">
        <v>24.521999999999998</v>
      </c>
      <c r="K53" s="16">
        <v>0.08</v>
      </c>
      <c r="L53" s="16">
        <v>8.4000000000000005E-2</v>
      </c>
    </row>
    <row r="54" spans="1:12" ht="18" customHeight="1" x14ac:dyDescent="0.3">
      <c r="A54" s="14">
        <v>46036</v>
      </c>
      <c r="B54" s="15">
        <v>46036.293055555558</v>
      </c>
      <c r="C54" s="16">
        <v>33</v>
      </c>
      <c r="D54" s="16" t="s">
        <v>66</v>
      </c>
      <c r="E54" s="16" t="s">
        <v>8</v>
      </c>
      <c r="F54" s="16" t="s">
        <v>64</v>
      </c>
      <c r="G54" s="16" t="s">
        <v>65</v>
      </c>
      <c r="H54" s="16">
        <v>6</v>
      </c>
      <c r="I54" s="16">
        <v>24.5</v>
      </c>
      <c r="J54" s="16">
        <v>24.48</v>
      </c>
      <c r="K54" s="16">
        <v>0.08</v>
      </c>
      <c r="L54" s="16">
        <v>4.2999999999999997E-2</v>
      </c>
    </row>
    <row r="55" spans="1:12" ht="18" customHeight="1" x14ac:dyDescent="0.3">
      <c r="A55" s="14">
        <v>46036</v>
      </c>
      <c r="B55" s="15">
        <v>46036.292361111111</v>
      </c>
      <c r="C55" s="16">
        <v>27</v>
      </c>
      <c r="D55" s="16" t="s">
        <v>66</v>
      </c>
      <c r="E55" s="16" t="s">
        <v>8</v>
      </c>
      <c r="F55" s="16" t="s">
        <v>60</v>
      </c>
      <c r="G55" s="16" t="s">
        <v>61</v>
      </c>
      <c r="H55" s="16">
        <v>1</v>
      </c>
      <c r="I55" s="16">
        <v>24.5</v>
      </c>
      <c r="J55" s="16">
        <v>24.527999999999999</v>
      </c>
      <c r="K55" s="16">
        <v>0.08</v>
      </c>
      <c r="L55" s="16">
        <v>5.1999999999999998E-2</v>
      </c>
    </row>
    <row r="56" spans="1:12" ht="18" customHeight="1" x14ac:dyDescent="0.3">
      <c r="A56" s="14">
        <v>46036</v>
      </c>
      <c r="B56" s="15">
        <v>46036.290972222225</v>
      </c>
      <c r="C56" s="16">
        <v>38</v>
      </c>
      <c r="D56" s="16" t="s">
        <v>66</v>
      </c>
      <c r="E56" s="16" t="s">
        <v>8</v>
      </c>
      <c r="F56" s="16" t="s">
        <v>52</v>
      </c>
      <c r="G56" s="16" t="s">
        <v>53</v>
      </c>
      <c r="H56" s="16">
        <v>5</v>
      </c>
      <c r="I56" s="16">
        <v>24.5</v>
      </c>
      <c r="J56" s="16">
        <v>24.515000000000001</v>
      </c>
      <c r="K56" s="16">
        <v>0.08</v>
      </c>
      <c r="L56" s="16">
        <v>3.7999999999999999E-2</v>
      </c>
    </row>
    <row r="57" spans="1:12" ht="18" customHeight="1" x14ac:dyDescent="0.3">
      <c r="A57" s="14">
        <v>46036</v>
      </c>
      <c r="B57" s="15">
        <v>46036.289583333331</v>
      </c>
      <c r="C57" s="16">
        <v>27</v>
      </c>
      <c r="D57" s="16" t="s">
        <v>66</v>
      </c>
      <c r="E57" s="16" t="s">
        <v>8</v>
      </c>
      <c r="F57" s="16" t="s">
        <v>60</v>
      </c>
      <c r="G57" s="16" t="s">
        <v>61</v>
      </c>
      <c r="H57" s="16">
        <v>1</v>
      </c>
      <c r="I57" s="16">
        <v>24.5</v>
      </c>
      <c r="J57" s="16">
        <v>24.445</v>
      </c>
      <c r="K57" s="16">
        <v>0.08</v>
      </c>
      <c r="L57" s="16">
        <v>5.5E-2</v>
      </c>
    </row>
    <row r="58" spans="1:12" ht="18" customHeight="1" x14ac:dyDescent="0.3">
      <c r="A58" s="14">
        <v>46036</v>
      </c>
      <c r="B58" s="15">
        <v>46036.288888888892</v>
      </c>
      <c r="C58" s="16">
        <v>10</v>
      </c>
      <c r="D58" s="16" t="s">
        <v>66</v>
      </c>
      <c r="E58" s="16" t="s">
        <v>8</v>
      </c>
      <c r="F58" s="16" t="s">
        <v>67</v>
      </c>
      <c r="G58" s="16" t="s">
        <v>68</v>
      </c>
      <c r="H58" s="16">
        <v>10</v>
      </c>
      <c r="I58" s="16">
        <v>24.5</v>
      </c>
      <c r="J58" s="16">
        <v>24.542999999999999</v>
      </c>
      <c r="K58" s="16">
        <v>0.08</v>
      </c>
      <c r="L58" s="16">
        <v>3.9E-2</v>
      </c>
    </row>
    <row r="59" spans="1:12" ht="18" customHeight="1" x14ac:dyDescent="0.3">
      <c r="A59" s="14">
        <v>46036</v>
      </c>
      <c r="B59" s="15">
        <v>46036.288194444445</v>
      </c>
      <c r="C59" s="16">
        <v>38</v>
      </c>
      <c r="D59" s="16" t="s">
        <v>66</v>
      </c>
      <c r="E59" s="16" t="s">
        <v>8</v>
      </c>
      <c r="F59" s="16" t="s">
        <v>52</v>
      </c>
      <c r="G59" s="16" t="s">
        <v>53</v>
      </c>
      <c r="H59" s="16">
        <v>5</v>
      </c>
      <c r="I59" s="16">
        <v>24.5</v>
      </c>
      <c r="J59" s="16">
        <v>24.509</v>
      </c>
      <c r="K59" s="16">
        <v>0.08</v>
      </c>
      <c r="L59" s="16">
        <v>1.2999999999999999E-2</v>
      </c>
    </row>
    <row r="60" spans="1:12" ht="18" customHeight="1" x14ac:dyDescent="0.3">
      <c r="A60" s="14">
        <v>46036</v>
      </c>
      <c r="B60" s="15">
        <v>46036.287499999999</v>
      </c>
      <c r="C60" s="16">
        <v>27</v>
      </c>
      <c r="D60" s="16" t="s">
        <v>66</v>
      </c>
      <c r="E60" s="16" t="s">
        <v>8</v>
      </c>
      <c r="F60" s="16" t="s">
        <v>60</v>
      </c>
      <c r="G60" s="16" t="s">
        <v>61</v>
      </c>
      <c r="H60" s="16">
        <v>1</v>
      </c>
      <c r="I60" s="16">
        <v>24.5</v>
      </c>
      <c r="J60" s="16">
        <v>24.399000000000001</v>
      </c>
      <c r="K60" s="16">
        <v>0.08</v>
      </c>
      <c r="L60" s="16">
        <v>4.1000000000000002E-2</v>
      </c>
    </row>
    <row r="61" spans="1:12" ht="18" customHeight="1" x14ac:dyDescent="0.3">
      <c r="A61" s="14">
        <v>46036</v>
      </c>
      <c r="B61" s="15">
        <v>46036.286805555559</v>
      </c>
      <c r="C61" s="16">
        <v>10</v>
      </c>
      <c r="D61" s="16" t="s">
        <v>66</v>
      </c>
      <c r="E61" s="16" t="s">
        <v>8</v>
      </c>
      <c r="F61" s="16" t="s">
        <v>67</v>
      </c>
      <c r="G61" s="16" t="s">
        <v>68</v>
      </c>
      <c r="H61" s="16">
        <v>10</v>
      </c>
      <c r="I61" s="16">
        <v>24.5</v>
      </c>
      <c r="J61" s="16">
        <v>24.571000000000002</v>
      </c>
      <c r="K61" s="16">
        <v>0.08</v>
      </c>
      <c r="L61" s="16">
        <v>7.4999999999999997E-2</v>
      </c>
    </row>
    <row r="62" spans="1:12" ht="18" customHeight="1" x14ac:dyDescent="0.3">
      <c r="A62" s="14">
        <v>46036</v>
      </c>
      <c r="B62" s="15">
        <v>46036.284722222219</v>
      </c>
      <c r="C62" s="16">
        <v>24</v>
      </c>
      <c r="D62" s="16" t="s">
        <v>66</v>
      </c>
      <c r="E62" s="16" t="s">
        <v>8</v>
      </c>
      <c r="F62" s="16" t="s">
        <v>56</v>
      </c>
      <c r="G62" s="16" t="s">
        <v>57</v>
      </c>
      <c r="H62" s="16">
        <v>20</v>
      </c>
      <c r="I62" s="16">
        <v>24.5</v>
      </c>
      <c r="J62" s="16">
        <v>24.536999999999999</v>
      </c>
      <c r="K62" s="16">
        <v>0.08</v>
      </c>
      <c r="L62" s="16">
        <v>0.04</v>
      </c>
    </row>
    <row r="63" spans="1:12" ht="18" customHeight="1" x14ac:dyDescent="0.3">
      <c r="A63" s="14">
        <v>46036</v>
      </c>
      <c r="B63" s="15">
        <v>46036.28402777778</v>
      </c>
      <c r="C63" s="16">
        <v>33</v>
      </c>
      <c r="D63" s="16" t="s">
        <v>66</v>
      </c>
      <c r="E63" s="16" t="s">
        <v>8</v>
      </c>
      <c r="F63" s="16" t="s">
        <v>64</v>
      </c>
      <c r="G63" s="16" t="s">
        <v>65</v>
      </c>
      <c r="H63" s="16">
        <v>6</v>
      </c>
      <c r="I63" s="16">
        <v>24.5</v>
      </c>
      <c r="J63" s="16">
        <v>24.545000000000002</v>
      </c>
      <c r="K63" s="16">
        <v>0.08</v>
      </c>
      <c r="L63" s="16">
        <v>3.5999999999999997E-2</v>
      </c>
    </row>
    <row r="64" spans="1:12" ht="18" customHeight="1" x14ac:dyDescent="0.3">
      <c r="A64" s="14">
        <v>46036</v>
      </c>
      <c r="B64" s="15">
        <v>46036.282638888886</v>
      </c>
      <c r="C64" s="16">
        <v>9</v>
      </c>
      <c r="D64" s="16" t="s">
        <v>66</v>
      </c>
      <c r="E64" s="16" t="s">
        <v>8</v>
      </c>
      <c r="F64" s="16" t="s">
        <v>50</v>
      </c>
      <c r="G64" s="16" t="s">
        <v>51</v>
      </c>
      <c r="H64" s="16">
        <v>12</v>
      </c>
      <c r="I64" s="16">
        <v>17</v>
      </c>
      <c r="J64" s="16">
        <v>16.966999999999999</v>
      </c>
      <c r="K64" s="16">
        <v>0.08</v>
      </c>
      <c r="L64" s="16">
        <v>6.5000000000000002E-2</v>
      </c>
    </row>
    <row r="65" spans="1:12" ht="18" customHeight="1" x14ac:dyDescent="0.3">
      <c r="A65" s="14">
        <v>46036</v>
      </c>
      <c r="B65" s="15">
        <v>46036.28125</v>
      </c>
      <c r="C65" s="16">
        <v>9</v>
      </c>
      <c r="D65" s="16" t="s">
        <v>66</v>
      </c>
      <c r="E65" s="16" t="s">
        <v>8</v>
      </c>
      <c r="F65" s="16" t="s">
        <v>50</v>
      </c>
      <c r="G65" s="16" t="s">
        <v>51</v>
      </c>
      <c r="H65" s="16">
        <v>12</v>
      </c>
      <c r="I65" s="16">
        <v>17</v>
      </c>
      <c r="J65" s="16">
        <v>16.97</v>
      </c>
      <c r="K65" s="16">
        <v>0.08</v>
      </c>
      <c r="L65" s="16">
        <v>4.5999999999999999E-2</v>
      </c>
    </row>
    <row r="66" spans="1:12" ht="18" customHeight="1" x14ac:dyDescent="0.3">
      <c r="A66" s="14">
        <v>46036</v>
      </c>
      <c r="B66" s="15">
        <v>46036.28125</v>
      </c>
      <c r="C66" s="16">
        <v>33</v>
      </c>
      <c r="D66" s="16" t="s">
        <v>66</v>
      </c>
      <c r="E66" s="16" t="s">
        <v>8</v>
      </c>
      <c r="F66" s="16" t="s">
        <v>64</v>
      </c>
      <c r="G66" s="16" t="s">
        <v>65</v>
      </c>
      <c r="H66" s="16">
        <v>6</v>
      </c>
      <c r="I66" s="16">
        <v>24.5</v>
      </c>
      <c r="J66" s="16">
        <v>24.497</v>
      </c>
      <c r="K66" s="16">
        <v>0.08</v>
      </c>
      <c r="L66" s="16">
        <v>7.1999999999999995E-2</v>
      </c>
    </row>
    <row r="67" spans="1:12" ht="18" customHeight="1" x14ac:dyDescent="0.3">
      <c r="A67" s="14">
        <v>46036</v>
      </c>
      <c r="B67" s="15">
        <v>46036.279166666667</v>
      </c>
      <c r="C67" s="16">
        <v>25</v>
      </c>
      <c r="D67" s="16" t="s">
        <v>66</v>
      </c>
      <c r="E67" s="16" t="s">
        <v>8</v>
      </c>
      <c r="F67" s="16" t="s">
        <v>58</v>
      </c>
      <c r="G67" s="16" t="s">
        <v>59</v>
      </c>
      <c r="H67" s="16">
        <v>2</v>
      </c>
      <c r="I67" s="16">
        <v>24.5</v>
      </c>
      <c r="J67" s="16">
        <v>24.465</v>
      </c>
      <c r="K67" s="16">
        <v>0.08</v>
      </c>
      <c r="L67" s="16">
        <v>5.2999999999999999E-2</v>
      </c>
    </row>
    <row r="68" spans="1:12" ht="18" customHeight="1" x14ac:dyDescent="0.3">
      <c r="A68" s="14">
        <v>46038</v>
      </c>
      <c r="B68" s="15">
        <v>46039.265277777777</v>
      </c>
      <c r="C68" s="16">
        <v>24</v>
      </c>
      <c r="D68" s="16" t="s">
        <v>70</v>
      </c>
      <c r="E68" s="16" t="s">
        <v>11</v>
      </c>
      <c r="F68" s="16" t="s">
        <v>56</v>
      </c>
      <c r="G68" s="16" t="s">
        <v>57</v>
      </c>
      <c r="H68" s="16">
        <v>24</v>
      </c>
      <c r="I68" s="16">
        <v>24.5</v>
      </c>
      <c r="J68" s="16">
        <v>24.454000000000001</v>
      </c>
      <c r="K68" s="16">
        <v>0.08</v>
      </c>
      <c r="L68" s="16">
        <v>5.1999999999999998E-2</v>
      </c>
    </row>
    <row r="69" spans="1:12" ht="18" customHeight="1" x14ac:dyDescent="0.3">
      <c r="A69" s="14">
        <v>46038</v>
      </c>
      <c r="B69" s="15">
        <v>46039.262499999997</v>
      </c>
      <c r="C69" s="16">
        <v>36</v>
      </c>
      <c r="D69" s="16" t="s">
        <v>70</v>
      </c>
      <c r="E69" s="16" t="s">
        <v>11</v>
      </c>
      <c r="F69" s="16" t="s">
        <v>72</v>
      </c>
      <c r="G69" s="16" t="s">
        <v>51</v>
      </c>
      <c r="H69" s="16">
        <v>15</v>
      </c>
      <c r="I69" s="16">
        <v>17</v>
      </c>
      <c r="J69" s="16">
        <v>16.937000000000001</v>
      </c>
      <c r="K69" s="16">
        <v>0.08</v>
      </c>
      <c r="L69" s="16">
        <v>6.3E-2</v>
      </c>
    </row>
    <row r="70" spans="1:12" ht="18" customHeight="1" x14ac:dyDescent="0.3">
      <c r="A70" s="14">
        <v>46038</v>
      </c>
      <c r="B70" s="15">
        <v>46039.260416666664</v>
      </c>
      <c r="C70" s="16">
        <v>24</v>
      </c>
      <c r="D70" s="16" t="s">
        <v>70</v>
      </c>
      <c r="E70" s="16" t="s">
        <v>11</v>
      </c>
      <c r="F70" s="16" t="s">
        <v>56</v>
      </c>
      <c r="G70" s="16" t="s">
        <v>57</v>
      </c>
      <c r="H70" s="16">
        <v>24</v>
      </c>
      <c r="I70" s="16">
        <v>24.5</v>
      </c>
      <c r="J70" s="16">
        <v>24.445</v>
      </c>
      <c r="K70" s="16">
        <v>0.08</v>
      </c>
      <c r="L70" s="16">
        <v>4.3999999999999997E-2</v>
      </c>
    </row>
    <row r="71" spans="1:12" ht="18" customHeight="1" x14ac:dyDescent="0.3">
      <c r="A71" s="14">
        <v>46038</v>
      </c>
      <c r="B71" s="15">
        <v>46039.260416666664</v>
      </c>
      <c r="C71" s="16">
        <v>33</v>
      </c>
      <c r="D71" s="16" t="s">
        <v>70</v>
      </c>
      <c r="E71" s="16" t="s">
        <v>11</v>
      </c>
      <c r="F71" s="16" t="s">
        <v>64</v>
      </c>
      <c r="G71" s="16" t="s">
        <v>65</v>
      </c>
      <c r="H71" s="16">
        <v>9</v>
      </c>
      <c r="I71" s="16">
        <v>24.5</v>
      </c>
      <c r="J71" s="16">
        <v>24.533000000000001</v>
      </c>
      <c r="K71" s="16">
        <v>0.08</v>
      </c>
      <c r="L71" s="16">
        <v>0.05</v>
      </c>
    </row>
    <row r="72" spans="1:12" ht="18" customHeight="1" x14ac:dyDescent="0.3">
      <c r="A72" s="14">
        <v>46038</v>
      </c>
      <c r="B72" s="15">
        <v>46039.258333333331</v>
      </c>
      <c r="C72" s="16">
        <v>9</v>
      </c>
      <c r="D72" s="16" t="s">
        <v>70</v>
      </c>
      <c r="E72" s="16" t="s">
        <v>11</v>
      </c>
      <c r="F72" s="16" t="s">
        <v>50</v>
      </c>
      <c r="G72" s="16" t="s">
        <v>51</v>
      </c>
      <c r="H72" s="16">
        <v>15</v>
      </c>
      <c r="I72" s="16">
        <v>17</v>
      </c>
      <c r="J72" s="16">
        <v>17.003</v>
      </c>
      <c r="K72" s="16">
        <v>0.08</v>
      </c>
      <c r="L72" s="16">
        <v>0.05</v>
      </c>
    </row>
    <row r="73" spans="1:12" ht="18" customHeight="1" x14ac:dyDescent="0.3">
      <c r="A73" s="14">
        <v>46038</v>
      </c>
      <c r="B73" s="15">
        <v>46039.257638888892</v>
      </c>
      <c r="C73" s="16">
        <v>37</v>
      </c>
      <c r="D73" s="16" t="s">
        <v>70</v>
      </c>
      <c r="E73" s="16" t="s">
        <v>11</v>
      </c>
      <c r="F73" s="16" t="s">
        <v>52</v>
      </c>
      <c r="G73" s="16" t="s">
        <v>53</v>
      </c>
      <c r="H73" s="16">
        <v>5</v>
      </c>
      <c r="I73" s="16">
        <v>24.5</v>
      </c>
      <c r="J73" s="16">
        <v>24.431000000000001</v>
      </c>
      <c r="K73" s="16">
        <v>0.08</v>
      </c>
      <c r="L73" s="16">
        <v>5.6000000000000001E-2</v>
      </c>
    </row>
    <row r="74" spans="1:12" ht="18" customHeight="1" x14ac:dyDescent="0.3">
      <c r="A74" s="14">
        <v>46038</v>
      </c>
      <c r="B74" s="15">
        <v>46039.256944444445</v>
      </c>
      <c r="C74" s="16">
        <v>36</v>
      </c>
      <c r="D74" s="16" t="s">
        <v>70</v>
      </c>
      <c r="E74" s="16" t="s">
        <v>11</v>
      </c>
      <c r="F74" s="16" t="s">
        <v>72</v>
      </c>
      <c r="G74" s="16" t="s">
        <v>51</v>
      </c>
      <c r="H74" s="16">
        <v>15</v>
      </c>
      <c r="I74" s="16">
        <v>17</v>
      </c>
      <c r="J74" s="16">
        <v>16.957999999999998</v>
      </c>
      <c r="K74" s="16">
        <v>0.08</v>
      </c>
      <c r="L74" s="16">
        <v>7.8E-2</v>
      </c>
    </row>
    <row r="75" spans="1:12" ht="18" customHeight="1" x14ac:dyDescent="0.3">
      <c r="A75" s="14">
        <v>46038</v>
      </c>
      <c r="B75" s="15">
        <v>46039.254861111112</v>
      </c>
      <c r="C75" s="16">
        <v>24</v>
      </c>
      <c r="D75" s="16" t="s">
        <v>70</v>
      </c>
      <c r="E75" s="16" t="s">
        <v>11</v>
      </c>
      <c r="F75" s="16" t="s">
        <v>56</v>
      </c>
      <c r="G75" s="16" t="s">
        <v>57</v>
      </c>
      <c r="H75" s="16">
        <v>24</v>
      </c>
      <c r="I75" s="16">
        <v>24.5</v>
      </c>
      <c r="J75" s="16">
        <v>24.446000000000002</v>
      </c>
      <c r="K75" s="16">
        <v>0.08</v>
      </c>
      <c r="L75" s="16">
        <v>7.5999999999999998E-2</v>
      </c>
    </row>
    <row r="76" spans="1:12" ht="18" customHeight="1" x14ac:dyDescent="0.3">
      <c r="A76" s="14">
        <v>46038</v>
      </c>
      <c r="B76" s="15">
        <v>46039.254166666666</v>
      </c>
      <c r="C76" s="16">
        <v>34</v>
      </c>
      <c r="D76" s="16" t="s">
        <v>70</v>
      </c>
      <c r="E76" s="16" t="s">
        <v>11</v>
      </c>
      <c r="F76" s="16" t="s">
        <v>71</v>
      </c>
      <c r="G76" s="16" t="s">
        <v>61</v>
      </c>
      <c r="H76" s="16">
        <v>9</v>
      </c>
      <c r="I76" s="16">
        <v>24.5</v>
      </c>
      <c r="J76" s="16">
        <v>24.516999999999999</v>
      </c>
      <c r="K76" s="16">
        <v>0.08</v>
      </c>
      <c r="L76" s="16">
        <v>4.2000000000000003E-2</v>
      </c>
    </row>
    <row r="77" spans="1:12" ht="18" customHeight="1" x14ac:dyDescent="0.3">
      <c r="A77" s="14">
        <v>46038</v>
      </c>
      <c r="B77" s="15">
        <v>46039.253472222219</v>
      </c>
      <c r="C77" s="16">
        <v>20</v>
      </c>
      <c r="D77" s="16" t="s">
        <v>70</v>
      </c>
      <c r="E77" s="16" t="s">
        <v>11</v>
      </c>
      <c r="F77" s="16" t="s">
        <v>69</v>
      </c>
      <c r="G77" s="16" t="s">
        <v>51</v>
      </c>
      <c r="H77" s="16">
        <v>15</v>
      </c>
      <c r="I77" s="16">
        <v>17</v>
      </c>
      <c r="J77" s="16">
        <v>16.933</v>
      </c>
      <c r="K77" s="16">
        <v>0.08</v>
      </c>
      <c r="L77" s="16">
        <v>5.0999999999999997E-2</v>
      </c>
    </row>
    <row r="78" spans="1:12" ht="18" customHeight="1" x14ac:dyDescent="0.3">
      <c r="A78" s="14">
        <v>46038</v>
      </c>
      <c r="B78" s="15">
        <v>46039.251388888886</v>
      </c>
      <c r="C78" s="16">
        <v>10</v>
      </c>
      <c r="D78" s="16" t="s">
        <v>70</v>
      </c>
      <c r="E78" s="16" t="s">
        <v>11</v>
      </c>
      <c r="F78" s="16" t="s">
        <v>54</v>
      </c>
      <c r="G78" s="16" t="s">
        <v>55</v>
      </c>
      <c r="H78" s="16">
        <v>2</v>
      </c>
      <c r="I78" s="16">
        <v>24.5</v>
      </c>
      <c r="J78" s="16">
        <v>24.536000000000001</v>
      </c>
      <c r="K78" s="16">
        <v>0.08</v>
      </c>
      <c r="L78" s="16">
        <v>6.3E-2</v>
      </c>
    </row>
    <row r="79" spans="1:12" ht="18" customHeight="1" x14ac:dyDescent="0.3">
      <c r="A79" s="14">
        <v>46038</v>
      </c>
      <c r="B79" s="15">
        <v>46039.248611111114</v>
      </c>
      <c r="C79" s="16">
        <v>37</v>
      </c>
      <c r="D79" s="16" t="s">
        <v>70</v>
      </c>
      <c r="E79" s="16" t="s">
        <v>11</v>
      </c>
      <c r="F79" s="16" t="s">
        <v>52</v>
      </c>
      <c r="G79" s="16" t="s">
        <v>53</v>
      </c>
      <c r="H79" s="16">
        <v>5</v>
      </c>
      <c r="I79" s="16">
        <v>24.5</v>
      </c>
      <c r="J79" s="16">
        <v>24.42</v>
      </c>
      <c r="K79" s="16">
        <v>0.08</v>
      </c>
      <c r="L79" s="16">
        <v>8.7999999999999995E-2</v>
      </c>
    </row>
    <row r="80" spans="1:12" ht="18" customHeight="1" x14ac:dyDescent="0.3">
      <c r="A80" s="14">
        <v>46038</v>
      </c>
      <c r="B80" s="15">
        <v>46039.246527777781</v>
      </c>
      <c r="C80" s="16">
        <v>26</v>
      </c>
      <c r="D80" s="16" t="s">
        <v>70</v>
      </c>
      <c r="E80" s="16" t="s">
        <v>11</v>
      </c>
      <c r="F80" s="16" t="s">
        <v>50</v>
      </c>
      <c r="G80" s="16" t="s">
        <v>51</v>
      </c>
      <c r="H80" s="16">
        <v>15</v>
      </c>
      <c r="I80" s="16">
        <v>17</v>
      </c>
      <c r="J80" s="16">
        <v>16.984999999999999</v>
      </c>
      <c r="K80" s="16">
        <v>0.08</v>
      </c>
      <c r="L80" s="16">
        <v>3.5000000000000003E-2</v>
      </c>
    </row>
    <row r="81" spans="1:12" ht="18" customHeight="1" x14ac:dyDescent="0.3">
      <c r="A81" s="14">
        <v>46038</v>
      </c>
      <c r="B81" s="15">
        <v>46039.244444444441</v>
      </c>
      <c r="C81" s="16">
        <v>36</v>
      </c>
      <c r="D81" s="16" t="s">
        <v>70</v>
      </c>
      <c r="E81" s="16" t="s">
        <v>11</v>
      </c>
      <c r="F81" s="16" t="s">
        <v>72</v>
      </c>
      <c r="G81" s="16" t="s">
        <v>51</v>
      </c>
      <c r="H81" s="16">
        <v>15</v>
      </c>
      <c r="I81" s="16">
        <v>17</v>
      </c>
      <c r="J81" s="16">
        <v>16.832999999999998</v>
      </c>
      <c r="K81" s="16">
        <v>0.08</v>
      </c>
      <c r="L81" s="16">
        <v>6.4000000000000001E-2</v>
      </c>
    </row>
    <row r="82" spans="1:12" ht="18" customHeight="1" x14ac:dyDescent="0.3">
      <c r="A82" s="14">
        <v>46038</v>
      </c>
      <c r="B82" s="15">
        <v>46039.239583333336</v>
      </c>
      <c r="C82" s="16">
        <v>25</v>
      </c>
      <c r="D82" s="16" t="s">
        <v>70</v>
      </c>
      <c r="E82" s="16" t="s">
        <v>11</v>
      </c>
      <c r="F82" s="16" t="s">
        <v>58</v>
      </c>
      <c r="G82" s="16" t="s">
        <v>59</v>
      </c>
      <c r="H82" s="16">
        <v>4</v>
      </c>
      <c r="I82" s="16">
        <v>24.5</v>
      </c>
      <c r="J82" s="16">
        <v>24.523</v>
      </c>
      <c r="K82" s="16">
        <v>0.08</v>
      </c>
      <c r="L82" s="16">
        <v>5.3999999999999999E-2</v>
      </c>
    </row>
    <row r="83" spans="1:12" ht="18" customHeight="1" x14ac:dyDescent="0.3">
      <c r="A83" s="14">
        <v>46038</v>
      </c>
      <c r="B83" s="15">
        <v>46039.236111111109</v>
      </c>
      <c r="C83" s="16">
        <v>25</v>
      </c>
      <c r="D83" s="16" t="s">
        <v>70</v>
      </c>
      <c r="E83" s="16" t="s">
        <v>11</v>
      </c>
      <c r="F83" s="16" t="s">
        <v>58</v>
      </c>
      <c r="G83" s="16" t="s">
        <v>59</v>
      </c>
      <c r="H83" s="16">
        <v>4</v>
      </c>
      <c r="I83" s="16">
        <v>24.5</v>
      </c>
      <c r="J83" s="16">
        <v>24.588999999999999</v>
      </c>
      <c r="K83" s="16">
        <v>0.08</v>
      </c>
      <c r="L83" s="16">
        <v>7.1999999999999995E-2</v>
      </c>
    </row>
    <row r="84" spans="1:12" ht="18" customHeight="1" x14ac:dyDescent="0.3">
      <c r="A84" s="14">
        <v>46038</v>
      </c>
      <c r="B84" s="15">
        <v>46039.231944444444</v>
      </c>
      <c r="C84" s="16">
        <v>37</v>
      </c>
      <c r="D84" s="16" t="s">
        <v>70</v>
      </c>
      <c r="E84" s="16" t="s">
        <v>11</v>
      </c>
      <c r="F84" s="16" t="s">
        <v>52</v>
      </c>
      <c r="G84" s="16" t="s">
        <v>53</v>
      </c>
      <c r="H84" s="16">
        <v>5</v>
      </c>
      <c r="I84" s="16">
        <v>24.5</v>
      </c>
      <c r="J84" s="16">
        <v>24.524999999999999</v>
      </c>
      <c r="K84" s="16">
        <v>0.08</v>
      </c>
      <c r="L84" s="16">
        <v>0.09</v>
      </c>
    </row>
    <row r="85" spans="1:12" ht="18" customHeight="1" x14ac:dyDescent="0.3">
      <c r="A85" s="14">
        <v>46038</v>
      </c>
      <c r="B85" s="15">
        <v>46039.230555555558</v>
      </c>
      <c r="C85" s="16">
        <v>35</v>
      </c>
      <c r="D85" s="16" t="s">
        <v>70</v>
      </c>
      <c r="E85" s="16" t="s">
        <v>11</v>
      </c>
      <c r="F85" s="16" t="s">
        <v>73</v>
      </c>
      <c r="G85" s="16" t="s">
        <v>63</v>
      </c>
      <c r="H85" s="16">
        <v>14</v>
      </c>
      <c r="I85" s="16">
        <v>24.5</v>
      </c>
      <c r="J85" s="16">
        <v>24.506</v>
      </c>
      <c r="K85" s="16">
        <v>0.08</v>
      </c>
      <c r="L85" s="16">
        <v>5.2999999999999999E-2</v>
      </c>
    </row>
    <row r="86" spans="1:12" ht="18" customHeight="1" x14ac:dyDescent="0.3">
      <c r="A86" s="14">
        <v>46038</v>
      </c>
      <c r="B86" s="15">
        <v>46039.229861111111</v>
      </c>
      <c r="C86" s="16">
        <v>36</v>
      </c>
      <c r="D86" s="16" t="s">
        <v>70</v>
      </c>
      <c r="E86" s="16" t="s">
        <v>11</v>
      </c>
      <c r="F86" s="16" t="s">
        <v>72</v>
      </c>
      <c r="G86" s="16" t="s">
        <v>51</v>
      </c>
      <c r="H86" s="16">
        <v>15</v>
      </c>
      <c r="I86" s="16">
        <v>17</v>
      </c>
      <c r="J86" s="16">
        <v>16.577999999999999</v>
      </c>
      <c r="K86" s="16">
        <v>0.08</v>
      </c>
      <c r="L86" s="16">
        <v>0.06</v>
      </c>
    </row>
    <row r="87" spans="1:12" ht="18" customHeight="1" x14ac:dyDescent="0.3">
      <c r="A87" s="14">
        <v>46038</v>
      </c>
      <c r="B87" s="15">
        <v>46039.227777777778</v>
      </c>
      <c r="C87" s="16">
        <v>38</v>
      </c>
      <c r="D87" s="16" t="s">
        <v>70</v>
      </c>
      <c r="E87" s="16" t="s">
        <v>11</v>
      </c>
      <c r="F87" s="16" t="s">
        <v>76</v>
      </c>
      <c r="G87" s="16" t="s">
        <v>77</v>
      </c>
      <c r="H87" s="16">
        <v>9</v>
      </c>
      <c r="I87" s="16">
        <v>24.5</v>
      </c>
      <c r="J87" s="16">
        <v>24.545999999999999</v>
      </c>
      <c r="K87" s="16">
        <v>0.08</v>
      </c>
      <c r="L87" s="16">
        <v>0.05</v>
      </c>
    </row>
    <row r="88" spans="1:12" ht="18" customHeight="1" x14ac:dyDescent="0.3">
      <c r="A88" s="14">
        <v>46038</v>
      </c>
      <c r="B88" s="15">
        <v>46039.227083333331</v>
      </c>
      <c r="C88" s="16">
        <v>27</v>
      </c>
      <c r="D88" s="16" t="s">
        <v>70</v>
      </c>
      <c r="E88" s="16" t="s">
        <v>11</v>
      </c>
      <c r="F88" s="16" t="s">
        <v>60</v>
      </c>
      <c r="G88" s="16" t="s">
        <v>61</v>
      </c>
      <c r="H88" s="16">
        <v>2</v>
      </c>
      <c r="I88" s="16">
        <v>24.5</v>
      </c>
      <c r="J88" s="16">
        <v>24.524000000000001</v>
      </c>
      <c r="K88" s="16">
        <v>0.08</v>
      </c>
      <c r="L88" s="16">
        <v>9.8000000000000004E-2</v>
      </c>
    </row>
    <row r="89" spans="1:12" ht="18" customHeight="1" x14ac:dyDescent="0.3">
      <c r="A89" s="14">
        <v>46038</v>
      </c>
      <c r="B89" s="15">
        <v>46039.224999999999</v>
      </c>
      <c r="C89" s="16">
        <v>28</v>
      </c>
      <c r="D89" s="16" t="s">
        <v>70</v>
      </c>
      <c r="E89" s="16" t="s">
        <v>11</v>
      </c>
      <c r="F89" s="16" t="s">
        <v>56</v>
      </c>
      <c r="G89" s="16" t="s">
        <v>57</v>
      </c>
      <c r="H89" s="16">
        <v>24</v>
      </c>
      <c r="I89" s="16">
        <v>24.5</v>
      </c>
      <c r="J89" s="16">
        <v>24.45</v>
      </c>
      <c r="K89" s="16">
        <v>0.08</v>
      </c>
      <c r="L89" s="16">
        <v>2.3E-2</v>
      </c>
    </row>
    <row r="90" spans="1:12" ht="18" customHeight="1" x14ac:dyDescent="0.3">
      <c r="A90" s="14">
        <v>46038</v>
      </c>
      <c r="B90" s="15">
        <v>46039.224999999999</v>
      </c>
      <c r="C90" s="16">
        <v>34</v>
      </c>
      <c r="D90" s="16" t="s">
        <v>70</v>
      </c>
      <c r="E90" s="16" t="s">
        <v>11</v>
      </c>
      <c r="F90" s="16" t="s">
        <v>71</v>
      </c>
      <c r="G90" s="16" t="s">
        <v>61</v>
      </c>
      <c r="H90" s="16">
        <v>9</v>
      </c>
      <c r="I90" s="16">
        <v>24.5</v>
      </c>
      <c r="J90" s="16">
        <v>24.491</v>
      </c>
      <c r="K90" s="16">
        <v>0.08</v>
      </c>
      <c r="L90" s="16">
        <v>4.4999999999999998E-2</v>
      </c>
    </row>
    <row r="91" spans="1:12" ht="18" customHeight="1" x14ac:dyDescent="0.3">
      <c r="A91" s="14">
        <v>46038</v>
      </c>
      <c r="B91" s="15">
        <v>46039.223611111112</v>
      </c>
      <c r="C91" s="16">
        <v>36</v>
      </c>
      <c r="D91" s="16" t="s">
        <v>70</v>
      </c>
      <c r="E91" s="16" t="s">
        <v>11</v>
      </c>
      <c r="F91" s="16" t="s">
        <v>72</v>
      </c>
      <c r="G91" s="16" t="s">
        <v>51</v>
      </c>
      <c r="H91" s="16">
        <v>15</v>
      </c>
      <c r="I91" s="16">
        <v>17</v>
      </c>
      <c r="J91" s="16">
        <v>16.805</v>
      </c>
      <c r="K91" s="16">
        <v>0.08</v>
      </c>
      <c r="L91" s="16">
        <v>6.5000000000000002E-2</v>
      </c>
    </row>
    <row r="92" spans="1:12" ht="18" customHeight="1" x14ac:dyDescent="0.3">
      <c r="A92" s="14">
        <v>46038</v>
      </c>
      <c r="B92" s="15">
        <v>46039.22152777778</v>
      </c>
      <c r="C92" s="16">
        <v>38</v>
      </c>
      <c r="D92" s="16" t="s">
        <v>70</v>
      </c>
      <c r="E92" s="16" t="s">
        <v>11</v>
      </c>
      <c r="F92" s="16" t="s">
        <v>76</v>
      </c>
      <c r="G92" s="16" t="s">
        <v>77</v>
      </c>
      <c r="H92" s="16">
        <v>9</v>
      </c>
      <c r="I92" s="16">
        <v>24.5</v>
      </c>
      <c r="J92" s="16">
        <v>24.581</v>
      </c>
      <c r="K92" s="16">
        <v>0.08</v>
      </c>
      <c r="L92" s="16">
        <v>4.9000000000000002E-2</v>
      </c>
    </row>
    <row r="93" spans="1:12" ht="18" customHeight="1" x14ac:dyDescent="0.3">
      <c r="A93" s="14">
        <v>46038</v>
      </c>
      <c r="B93" s="15">
        <v>46039.22152777778</v>
      </c>
      <c r="C93" s="16">
        <v>25</v>
      </c>
      <c r="D93" s="16" t="s">
        <v>70</v>
      </c>
      <c r="E93" s="16" t="s">
        <v>11</v>
      </c>
      <c r="F93" s="16" t="s">
        <v>58</v>
      </c>
      <c r="G93" s="16" t="s">
        <v>59</v>
      </c>
      <c r="H93" s="16">
        <v>4</v>
      </c>
      <c r="I93" s="16">
        <v>24.5</v>
      </c>
      <c r="J93" s="16">
        <v>24.544</v>
      </c>
      <c r="K93" s="16">
        <v>0.08</v>
      </c>
      <c r="L93" s="16">
        <v>6.4000000000000001E-2</v>
      </c>
    </row>
    <row r="94" spans="1:12" ht="18" customHeight="1" x14ac:dyDescent="0.3">
      <c r="A94" s="14">
        <v>46038</v>
      </c>
      <c r="B94" s="15">
        <v>46039.219444444447</v>
      </c>
      <c r="C94" s="16">
        <v>9</v>
      </c>
      <c r="D94" s="16" t="s">
        <v>70</v>
      </c>
      <c r="E94" s="16" t="s">
        <v>11</v>
      </c>
      <c r="F94" s="16" t="s">
        <v>50</v>
      </c>
      <c r="G94" s="16" t="s">
        <v>51</v>
      </c>
      <c r="H94" s="16">
        <v>15</v>
      </c>
      <c r="I94" s="16">
        <v>17</v>
      </c>
      <c r="J94" s="16">
        <v>16.992999999999999</v>
      </c>
      <c r="K94" s="16">
        <v>0.08</v>
      </c>
      <c r="L94" s="16">
        <v>5.1999999999999998E-2</v>
      </c>
    </row>
    <row r="95" spans="1:12" ht="18" customHeight="1" x14ac:dyDescent="0.3">
      <c r="A95" s="14">
        <v>46038</v>
      </c>
      <c r="B95" s="15">
        <v>46039.219444444447</v>
      </c>
      <c r="C95" s="16">
        <v>22</v>
      </c>
      <c r="D95" s="16" t="s">
        <v>70</v>
      </c>
      <c r="E95" s="16" t="s">
        <v>11</v>
      </c>
      <c r="F95" s="16" t="s">
        <v>90</v>
      </c>
      <c r="G95" s="16" t="s">
        <v>91</v>
      </c>
      <c r="H95" s="16">
        <v>2</v>
      </c>
      <c r="I95" s="16">
        <v>24.5</v>
      </c>
      <c r="J95" s="16">
        <v>24.456</v>
      </c>
      <c r="K95" s="16">
        <v>0.08</v>
      </c>
      <c r="L95" s="16">
        <v>8.8999999999999996E-2</v>
      </c>
    </row>
    <row r="96" spans="1:12" ht="18" customHeight="1" x14ac:dyDescent="0.3">
      <c r="A96" s="14">
        <v>46038</v>
      </c>
      <c r="B96" s="15">
        <v>46039.217361111114</v>
      </c>
      <c r="C96" s="16">
        <v>31</v>
      </c>
      <c r="D96" s="16" t="s">
        <v>70</v>
      </c>
      <c r="E96" s="16" t="s">
        <v>11</v>
      </c>
      <c r="F96" s="16" t="s">
        <v>92</v>
      </c>
      <c r="G96" s="16" t="s">
        <v>93</v>
      </c>
      <c r="H96" s="16">
        <v>2</v>
      </c>
      <c r="I96" s="16">
        <v>24.5</v>
      </c>
      <c r="J96" s="16">
        <v>24.414000000000001</v>
      </c>
      <c r="K96" s="16">
        <v>0.08</v>
      </c>
      <c r="L96" s="16">
        <v>2.7E-2</v>
      </c>
    </row>
    <row r="97" spans="1:12" ht="18" customHeight="1" x14ac:dyDescent="0.3">
      <c r="A97" s="14">
        <v>46038</v>
      </c>
      <c r="B97" s="15">
        <v>46039.21597222222</v>
      </c>
      <c r="C97" s="16">
        <v>11</v>
      </c>
      <c r="D97" s="16" t="s">
        <v>70</v>
      </c>
      <c r="E97" s="16" t="s">
        <v>11</v>
      </c>
      <c r="F97" s="16" t="s">
        <v>50</v>
      </c>
      <c r="G97" s="16" t="s">
        <v>51</v>
      </c>
      <c r="H97" s="16">
        <v>15</v>
      </c>
      <c r="I97" s="16">
        <v>17</v>
      </c>
      <c r="J97" s="16">
        <v>16.905999999999999</v>
      </c>
      <c r="K97" s="16">
        <v>0.08</v>
      </c>
      <c r="L97" s="16">
        <v>6.9000000000000006E-2</v>
      </c>
    </row>
    <row r="98" spans="1:12" ht="18" customHeight="1" x14ac:dyDescent="0.3">
      <c r="A98" s="14">
        <v>46038</v>
      </c>
      <c r="B98" s="15">
        <v>46039.215277777781</v>
      </c>
      <c r="C98" s="16">
        <v>33</v>
      </c>
      <c r="D98" s="16" t="s">
        <v>70</v>
      </c>
      <c r="E98" s="16" t="s">
        <v>11</v>
      </c>
      <c r="F98" s="16" t="s">
        <v>64</v>
      </c>
      <c r="G98" s="16" t="s">
        <v>65</v>
      </c>
      <c r="H98" s="16">
        <v>9</v>
      </c>
      <c r="I98" s="16">
        <v>24.5</v>
      </c>
      <c r="J98" s="16">
        <v>24.544</v>
      </c>
      <c r="K98" s="16">
        <v>0.08</v>
      </c>
      <c r="L98" s="16">
        <v>4.5999999999999999E-2</v>
      </c>
    </row>
    <row r="99" spans="1:12" ht="18" customHeight="1" x14ac:dyDescent="0.3">
      <c r="A99" s="14">
        <v>46038</v>
      </c>
      <c r="B99" s="15">
        <v>46039.213888888888</v>
      </c>
      <c r="C99" s="16">
        <v>20</v>
      </c>
      <c r="D99" s="16" t="s">
        <v>70</v>
      </c>
      <c r="E99" s="16" t="s">
        <v>11</v>
      </c>
      <c r="F99" s="16" t="s">
        <v>69</v>
      </c>
      <c r="G99" s="16" t="s">
        <v>51</v>
      </c>
      <c r="H99" s="16">
        <v>15</v>
      </c>
      <c r="I99" s="16">
        <v>17</v>
      </c>
      <c r="J99" s="16">
        <v>16.93</v>
      </c>
      <c r="K99" s="16">
        <v>0.08</v>
      </c>
      <c r="L99" s="16">
        <v>5.5E-2</v>
      </c>
    </row>
    <row r="100" spans="1:12" ht="18" customHeight="1" x14ac:dyDescent="0.3">
      <c r="A100" s="14">
        <v>46038</v>
      </c>
      <c r="B100" s="15">
        <v>46039.212500000001</v>
      </c>
      <c r="C100" s="16">
        <v>34</v>
      </c>
      <c r="D100" s="16" t="s">
        <v>70</v>
      </c>
      <c r="E100" s="16" t="s">
        <v>11</v>
      </c>
      <c r="F100" s="16" t="s">
        <v>71</v>
      </c>
      <c r="G100" s="16" t="s">
        <v>61</v>
      </c>
      <c r="H100" s="16">
        <v>9</v>
      </c>
      <c r="I100" s="16">
        <v>24.5</v>
      </c>
      <c r="J100" s="16">
        <v>24.504999999999999</v>
      </c>
      <c r="K100" s="16">
        <v>0.08</v>
      </c>
      <c r="L100" s="16">
        <v>7.1999999999999995E-2</v>
      </c>
    </row>
    <row r="101" spans="1:12" ht="18" customHeight="1" x14ac:dyDescent="0.3">
      <c r="A101" s="14">
        <v>46038</v>
      </c>
      <c r="B101" s="15">
        <v>46039.211805555555</v>
      </c>
      <c r="C101" s="16">
        <v>31</v>
      </c>
      <c r="D101" s="16" t="s">
        <v>70</v>
      </c>
      <c r="E101" s="16" t="s">
        <v>11</v>
      </c>
      <c r="F101" s="16" t="s">
        <v>92</v>
      </c>
      <c r="G101" s="16" t="s">
        <v>93</v>
      </c>
      <c r="H101" s="16">
        <v>2</v>
      </c>
      <c r="I101" s="16">
        <v>24.5</v>
      </c>
      <c r="J101" s="16">
        <v>24.693000000000001</v>
      </c>
      <c r="K101" s="16">
        <v>0.08</v>
      </c>
      <c r="L101" s="16">
        <v>7.2999999999999995E-2</v>
      </c>
    </row>
    <row r="102" spans="1:12" ht="18" customHeight="1" x14ac:dyDescent="0.3">
      <c r="A102" s="14">
        <v>46038</v>
      </c>
      <c r="B102" s="15">
        <v>46039.211805555555</v>
      </c>
      <c r="C102" s="16">
        <v>10</v>
      </c>
      <c r="D102" s="16" t="s">
        <v>70</v>
      </c>
      <c r="E102" s="16" t="s">
        <v>11</v>
      </c>
      <c r="F102" s="16" t="s">
        <v>54</v>
      </c>
      <c r="G102" s="16" t="s">
        <v>55</v>
      </c>
      <c r="H102" s="16">
        <v>2</v>
      </c>
      <c r="I102" s="16">
        <v>24.5</v>
      </c>
      <c r="J102" s="16">
        <v>24.510999999999999</v>
      </c>
      <c r="K102" s="16">
        <v>0.08</v>
      </c>
      <c r="L102" s="16">
        <v>2.7E-2</v>
      </c>
    </row>
    <row r="103" spans="1:12" ht="18" customHeight="1" x14ac:dyDescent="0.3">
      <c r="A103" s="14">
        <v>46038</v>
      </c>
      <c r="B103" s="15">
        <v>46039.210416666669</v>
      </c>
      <c r="C103" s="16">
        <v>24</v>
      </c>
      <c r="D103" s="16" t="s">
        <v>70</v>
      </c>
      <c r="E103" s="16" t="s">
        <v>11</v>
      </c>
      <c r="F103" s="16" t="s">
        <v>56</v>
      </c>
      <c r="G103" s="16" t="s">
        <v>57</v>
      </c>
      <c r="H103" s="16">
        <v>24</v>
      </c>
      <c r="I103" s="16">
        <v>24.5</v>
      </c>
      <c r="J103" s="16">
        <v>24.469000000000001</v>
      </c>
      <c r="K103" s="16">
        <v>0.08</v>
      </c>
      <c r="L103" s="16">
        <v>7.1999999999999995E-2</v>
      </c>
    </row>
    <row r="104" spans="1:12" ht="18" customHeight="1" x14ac:dyDescent="0.3">
      <c r="A104" s="14">
        <v>46038</v>
      </c>
      <c r="B104" s="15">
        <v>46039.209027777775</v>
      </c>
      <c r="C104" s="16">
        <v>31</v>
      </c>
      <c r="D104" s="16" t="s">
        <v>70</v>
      </c>
      <c r="E104" s="16" t="s">
        <v>11</v>
      </c>
      <c r="F104" s="16" t="s">
        <v>92</v>
      </c>
      <c r="G104" s="16" t="s">
        <v>93</v>
      </c>
      <c r="H104" s="16">
        <v>2</v>
      </c>
      <c r="I104" s="16">
        <v>24.5</v>
      </c>
      <c r="J104" s="16">
        <v>24.736000000000001</v>
      </c>
      <c r="K104" s="16">
        <v>0.08</v>
      </c>
      <c r="L104" s="16">
        <v>0.115</v>
      </c>
    </row>
    <row r="105" spans="1:12" ht="18" customHeight="1" x14ac:dyDescent="0.3">
      <c r="A105" s="14">
        <v>46038</v>
      </c>
      <c r="B105" s="15">
        <v>46039.207638888889</v>
      </c>
      <c r="C105" s="16">
        <v>10</v>
      </c>
      <c r="D105" s="16" t="s">
        <v>70</v>
      </c>
      <c r="E105" s="16" t="s">
        <v>11</v>
      </c>
      <c r="F105" s="16" t="s">
        <v>54</v>
      </c>
      <c r="G105" s="16" t="s">
        <v>55</v>
      </c>
      <c r="H105" s="16">
        <v>2</v>
      </c>
      <c r="I105" s="16">
        <v>24.5</v>
      </c>
      <c r="J105" s="16">
        <v>24.545999999999999</v>
      </c>
      <c r="K105" s="16">
        <v>0.08</v>
      </c>
      <c r="L105" s="16">
        <v>3.2000000000000001E-2</v>
      </c>
    </row>
    <row r="106" spans="1:12" ht="18" customHeight="1" x14ac:dyDescent="0.3">
      <c r="A106" s="14">
        <v>46038</v>
      </c>
      <c r="B106" s="15">
        <v>46039.20416666667</v>
      </c>
      <c r="C106" s="16">
        <v>31</v>
      </c>
      <c r="D106" s="16" t="s">
        <v>70</v>
      </c>
      <c r="E106" s="16" t="s">
        <v>11</v>
      </c>
      <c r="F106" s="16" t="s">
        <v>92</v>
      </c>
      <c r="G106" s="16" t="s">
        <v>93</v>
      </c>
      <c r="H106" s="16">
        <v>2</v>
      </c>
      <c r="I106" s="16">
        <v>24.5</v>
      </c>
      <c r="J106" s="16">
        <v>24.527999999999999</v>
      </c>
      <c r="K106" s="16">
        <v>0.08</v>
      </c>
      <c r="L106" s="16">
        <v>8.5999999999999993E-2</v>
      </c>
    </row>
    <row r="107" spans="1:12" ht="18" customHeight="1" x14ac:dyDescent="0.3">
      <c r="A107" s="14">
        <v>46038</v>
      </c>
      <c r="B107" s="15">
        <v>46039.203472222223</v>
      </c>
      <c r="C107" s="16">
        <v>37</v>
      </c>
      <c r="D107" s="16" t="s">
        <v>70</v>
      </c>
      <c r="E107" s="16" t="s">
        <v>11</v>
      </c>
      <c r="F107" s="16" t="s">
        <v>52</v>
      </c>
      <c r="G107" s="16" t="s">
        <v>53</v>
      </c>
      <c r="H107" s="16">
        <v>5</v>
      </c>
      <c r="I107" s="16">
        <v>24.5</v>
      </c>
      <c r="J107" s="16">
        <v>24.507000000000001</v>
      </c>
      <c r="K107" s="16">
        <v>0.08</v>
      </c>
      <c r="L107" s="16">
        <v>7.3999999999999996E-2</v>
      </c>
    </row>
    <row r="108" spans="1:12" ht="18" customHeight="1" x14ac:dyDescent="0.3">
      <c r="A108" s="14">
        <v>46038</v>
      </c>
      <c r="B108" s="15">
        <v>46039.200694444444</v>
      </c>
      <c r="C108" s="16">
        <v>25</v>
      </c>
      <c r="D108" s="16" t="s">
        <v>70</v>
      </c>
      <c r="E108" s="16" t="s">
        <v>11</v>
      </c>
      <c r="F108" s="16" t="s">
        <v>58</v>
      </c>
      <c r="G108" s="16" t="s">
        <v>59</v>
      </c>
      <c r="H108" s="16">
        <v>4</v>
      </c>
      <c r="I108" s="16">
        <v>24.5</v>
      </c>
      <c r="J108" s="16">
        <v>24.506</v>
      </c>
      <c r="K108" s="16">
        <v>0.08</v>
      </c>
      <c r="L108" s="16">
        <v>6.3E-2</v>
      </c>
    </row>
    <row r="109" spans="1:12" ht="18" customHeight="1" x14ac:dyDescent="0.3">
      <c r="A109" s="14">
        <v>46038</v>
      </c>
      <c r="B109" s="15">
        <v>46039.197222222225</v>
      </c>
      <c r="C109" s="16">
        <v>37</v>
      </c>
      <c r="D109" s="16" t="s">
        <v>70</v>
      </c>
      <c r="E109" s="16" t="s">
        <v>11</v>
      </c>
      <c r="F109" s="16" t="s">
        <v>52</v>
      </c>
      <c r="G109" s="16" t="s">
        <v>53</v>
      </c>
      <c r="H109" s="16">
        <v>5</v>
      </c>
      <c r="I109" s="16">
        <v>24.5</v>
      </c>
      <c r="J109" s="16">
        <v>24.594000000000001</v>
      </c>
      <c r="K109" s="16">
        <v>0.08</v>
      </c>
      <c r="L109" s="16">
        <v>5.8999999999999997E-2</v>
      </c>
    </row>
    <row r="110" spans="1:12" ht="18" customHeight="1" x14ac:dyDescent="0.3">
      <c r="A110" s="14">
        <v>46038</v>
      </c>
      <c r="B110" s="15">
        <v>46039.193749999999</v>
      </c>
      <c r="C110" s="16">
        <v>35</v>
      </c>
      <c r="D110" s="16" t="s">
        <v>70</v>
      </c>
      <c r="E110" s="16" t="s">
        <v>11</v>
      </c>
      <c r="F110" s="16" t="s">
        <v>73</v>
      </c>
      <c r="G110" s="16" t="s">
        <v>63</v>
      </c>
      <c r="H110" s="16">
        <v>14</v>
      </c>
      <c r="I110" s="16">
        <v>24.5</v>
      </c>
      <c r="J110" s="16">
        <v>24.404</v>
      </c>
      <c r="K110" s="16">
        <v>0.08</v>
      </c>
      <c r="L110" s="16">
        <v>6.9000000000000006E-2</v>
      </c>
    </row>
    <row r="111" spans="1:12" ht="18" customHeight="1" x14ac:dyDescent="0.3">
      <c r="A111" s="14">
        <v>46038</v>
      </c>
      <c r="B111" s="15">
        <v>46039.193055555559</v>
      </c>
      <c r="C111" s="16">
        <v>27</v>
      </c>
      <c r="D111" s="16" t="s">
        <v>70</v>
      </c>
      <c r="E111" s="16" t="s">
        <v>11</v>
      </c>
      <c r="F111" s="16" t="s">
        <v>60</v>
      </c>
      <c r="G111" s="16" t="s">
        <v>61</v>
      </c>
      <c r="H111" s="16">
        <v>2</v>
      </c>
      <c r="I111" s="16">
        <v>24.5</v>
      </c>
      <c r="J111" s="16">
        <v>24.536000000000001</v>
      </c>
      <c r="K111" s="16">
        <v>0.08</v>
      </c>
      <c r="L111" s="16">
        <v>4.9000000000000002E-2</v>
      </c>
    </row>
    <row r="112" spans="1:12" ht="18" customHeight="1" x14ac:dyDescent="0.3">
      <c r="A112" s="14">
        <v>46038</v>
      </c>
      <c r="B112" s="15">
        <v>46039.192361111112</v>
      </c>
      <c r="C112" s="16">
        <v>22</v>
      </c>
      <c r="D112" s="16" t="s">
        <v>70</v>
      </c>
      <c r="E112" s="16" t="s">
        <v>11</v>
      </c>
      <c r="F112" s="16" t="s">
        <v>90</v>
      </c>
      <c r="G112" s="16" t="s">
        <v>91</v>
      </c>
      <c r="H112" s="16">
        <v>2</v>
      </c>
      <c r="I112" s="16">
        <v>24.5</v>
      </c>
      <c r="J112" s="16">
        <v>24.462</v>
      </c>
      <c r="K112" s="16">
        <v>0.08</v>
      </c>
      <c r="L112" s="16">
        <v>9.8000000000000004E-2</v>
      </c>
    </row>
    <row r="113" spans="1:12" ht="18" customHeight="1" x14ac:dyDescent="0.3">
      <c r="A113" s="14">
        <v>46038</v>
      </c>
      <c r="B113" s="15">
        <v>46039.19027777778</v>
      </c>
      <c r="C113" s="16">
        <v>36</v>
      </c>
      <c r="D113" s="16" t="s">
        <v>70</v>
      </c>
      <c r="E113" s="16" t="s">
        <v>11</v>
      </c>
      <c r="F113" s="16" t="s">
        <v>72</v>
      </c>
      <c r="G113" s="16" t="s">
        <v>51</v>
      </c>
      <c r="H113" s="16">
        <v>15</v>
      </c>
      <c r="I113" s="16">
        <v>17</v>
      </c>
      <c r="J113" s="16">
        <v>16.916</v>
      </c>
      <c r="K113" s="16">
        <v>0.08</v>
      </c>
      <c r="L113" s="16">
        <v>7.6999999999999999E-2</v>
      </c>
    </row>
    <row r="114" spans="1:12" ht="18" customHeight="1" x14ac:dyDescent="0.3">
      <c r="A114" s="14">
        <v>46038</v>
      </c>
      <c r="B114" s="15">
        <v>46039.18472222222</v>
      </c>
      <c r="C114" s="16">
        <v>22</v>
      </c>
      <c r="D114" s="16" t="s">
        <v>70</v>
      </c>
      <c r="E114" s="16" t="s">
        <v>11</v>
      </c>
      <c r="F114" s="16" t="s">
        <v>90</v>
      </c>
      <c r="G114" s="16" t="s">
        <v>91</v>
      </c>
      <c r="H114" s="16">
        <v>2</v>
      </c>
      <c r="I114" s="16">
        <v>24.5</v>
      </c>
      <c r="J114" s="16">
        <v>24.462</v>
      </c>
      <c r="K114" s="16">
        <v>0.08</v>
      </c>
      <c r="L114" s="16">
        <v>0.127</v>
      </c>
    </row>
    <row r="115" spans="1:12" ht="18" customHeight="1" x14ac:dyDescent="0.3">
      <c r="A115" s="14">
        <v>46038</v>
      </c>
      <c r="B115" s="15">
        <v>46039.184027777781</v>
      </c>
      <c r="C115" s="16">
        <v>27</v>
      </c>
      <c r="D115" s="16" t="s">
        <v>70</v>
      </c>
      <c r="E115" s="16" t="s">
        <v>11</v>
      </c>
      <c r="F115" s="16" t="s">
        <v>60</v>
      </c>
      <c r="G115" s="16" t="s">
        <v>61</v>
      </c>
      <c r="H115" s="16">
        <v>2</v>
      </c>
      <c r="I115" s="16">
        <v>24.5</v>
      </c>
      <c r="J115" s="16">
        <v>24.439</v>
      </c>
      <c r="K115" s="16">
        <v>0.08</v>
      </c>
      <c r="L115" s="16">
        <v>3.3000000000000002E-2</v>
      </c>
    </row>
    <row r="116" spans="1:12" ht="18" customHeight="1" x14ac:dyDescent="0.3">
      <c r="A116" s="14">
        <v>46038</v>
      </c>
      <c r="B116" s="15">
        <v>46039.182638888888</v>
      </c>
      <c r="C116" s="16">
        <v>9</v>
      </c>
      <c r="D116" s="16" t="s">
        <v>70</v>
      </c>
      <c r="E116" s="16" t="s">
        <v>11</v>
      </c>
      <c r="F116" s="16" t="s">
        <v>50</v>
      </c>
      <c r="G116" s="16" t="s">
        <v>51</v>
      </c>
      <c r="H116" s="16">
        <v>15</v>
      </c>
      <c r="I116" s="16">
        <v>17</v>
      </c>
      <c r="J116" s="16">
        <v>16.994</v>
      </c>
      <c r="K116" s="16">
        <v>0.08</v>
      </c>
      <c r="L116" s="16">
        <v>5.8999999999999997E-2</v>
      </c>
    </row>
    <row r="117" spans="1:12" ht="18" customHeight="1" x14ac:dyDescent="0.3">
      <c r="A117" s="14">
        <v>46038</v>
      </c>
      <c r="B117" s="15">
        <v>46039.181250000001</v>
      </c>
      <c r="C117" s="16">
        <v>9</v>
      </c>
      <c r="D117" s="16" t="s">
        <v>70</v>
      </c>
      <c r="E117" s="16" t="s">
        <v>11</v>
      </c>
      <c r="F117" s="16" t="s">
        <v>50</v>
      </c>
      <c r="G117" s="16" t="s">
        <v>51</v>
      </c>
      <c r="H117" s="16">
        <v>15</v>
      </c>
      <c r="I117" s="16">
        <v>17</v>
      </c>
      <c r="J117" s="16">
        <v>16.988</v>
      </c>
      <c r="K117" s="16">
        <v>0.08</v>
      </c>
      <c r="L117" s="16">
        <v>5.5E-2</v>
      </c>
    </row>
    <row r="118" spans="1:12" ht="18" customHeight="1" x14ac:dyDescent="0.3">
      <c r="A118" s="14">
        <v>46038</v>
      </c>
      <c r="B118" s="15">
        <v>46039.179861111108</v>
      </c>
      <c r="C118" s="16">
        <v>36</v>
      </c>
      <c r="D118" s="16" t="s">
        <v>70</v>
      </c>
      <c r="E118" s="16" t="s">
        <v>11</v>
      </c>
      <c r="F118" s="16" t="s">
        <v>72</v>
      </c>
      <c r="G118" s="16" t="s">
        <v>51</v>
      </c>
      <c r="H118" s="16">
        <v>15</v>
      </c>
      <c r="I118" s="16">
        <v>17</v>
      </c>
      <c r="J118" s="16">
        <v>16.672000000000001</v>
      </c>
      <c r="K118" s="16">
        <v>0.08</v>
      </c>
      <c r="L118" s="16">
        <v>0.06</v>
      </c>
    </row>
    <row r="119" spans="1:12" ht="18" customHeight="1" x14ac:dyDescent="0.3">
      <c r="A119" s="14">
        <v>46038</v>
      </c>
      <c r="B119" s="15">
        <v>46039.177777777775</v>
      </c>
      <c r="C119" s="16">
        <v>24</v>
      </c>
      <c r="D119" s="16" t="s">
        <v>70</v>
      </c>
      <c r="E119" s="16" t="s">
        <v>11</v>
      </c>
      <c r="F119" s="16" t="s">
        <v>56</v>
      </c>
      <c r="G119" s="16" t="s">
        <v>57</v>
      </c>
      <c r="H119" s="16">
        <v>24</v>
      </c>
      <c r="I119" s="16">
        <v>24.5</v>
      </c>
      <c r="J119" s="16">
        <v>24.465</v>
      </c>
      <c r="K119" s="16">
        <v>0.08</v>
      </c>
      <c r="L119" s="16">
        <v>7.4999999999999997E-2</v>
      </c>
    </row>
    <row r="120" spans="1:12" ht="18" customHeight="1" x14ac:dyDescent="0.3">
      <c r="A120" s="14">
        <v>46038</v>
      </c>
      <c r="B120" s="15">
        <v>46039.177083333336</v>
      </c>
      <c r="C120" s="16">
        <v>20</v>
      </c>
      <c r="D120" s="16" t="s">
        <v>70</v>
      </c>
      <c r="E120" s="16" t="s">
        <v>11</v>
      </c>
      <c r="F120" s="16" t="s">
        <v>69</v>
      </c>
      <c r="G120" s="16" t="s">
        <v>51</v>
      </c>
      <c r="H120" s="16">
        <v>15</v>
      </c>
      <c r="I120" s="16">
        <v>17</v>
      </c>
      <c r="J120" s="16">
        <v>16.876999999999999</v>
      </c>
      <c r="K120" s="16">
        <v>0.08</v>
      </c>
      <c r="L120" s="16">
        <v>5.3999999999999999E-2</v>
      </c>
    </row>
    <row r="121" spans="1:12" ht="18" customHeight="1" x14ac:dyDescent="0.3">
      <c r="A121" s="14">
        <v>46038</v>
      </c>
      <c r="B121" s="15">
        <v>46039.175694444442</v>
      </c>
      <c r="C121" s="16">
        <v>20</v>
      </c>
      <c r="D121" s="16" t="s">
        <v>70</v>
      </c>
      <c r="E121" s="16" t="s">
        <v>11</v>
      </c>
      <c r="F121" s="16" t="s">
        <v>69</v>
      </c>
      <c r="G121" s="16" t="s">
        <v>51</v>
      </c>
      <c r="H121" s="16">
        <v>15</v>
      </c>
      <c r="I121" s="16">
        <v>17</v>
      </c>
      <c r="J121" s="16">
        <v>16.870999999999999</v>
      </c>
      <c r="K121" s="16">
        <v>0.08</v>
      </c>
      <c r="L121" s="16">
        <v>5.6000000000000001E-2</v>
      </c>
    </row>
    <row r="122" spans="1:12" ht="18" customHeight="1" x14ac:dyDescent="0.3">
      <c r="A122" s="14">
        <v>46038</v>
      </c>
      <c r="B122" s="15">
        <v>46039.175694444442</v>
      </c>
      <c r="C122" s="16">
        <v>9</v>
      </c>
      <c r="D122" s="16" t="s">
        <v>70</v>
      </c>
      <c r="E122" s="16" t="s">
        <v>11</v>
      </c>
      <c r="F122" s="16" t="s">
        <v>50</v>
      </c>
      <c r="G122" s="16" t="s">
        <v>51</v>
      </c>
      <c r="H122" s="16">
        <v>15</v>
      </c>
      <c r="I122" s="16">
        <v>17</v>
      </c>
      <c r="J122" s="16">
        <v>16.992999999999999</v>
      </c>
      <c r="K122" s="16">
        <v>0.08</v>
      </c>
      <c r="L122" s="16">
        <v>4.2999999999999997E-2</v>
      </c>
    </row>
    <row r="123" spans="1:12" ht="18" customHeight="1" x14ac:dyDescent="0.3">
      <c r="A123" s="14">
        <v>46038</v>
      </c>
      <c r="B123" s="15">
        <v>46039.175000000003</v>
      </c>
      <c r="C123" s="16">
        <v>33</v>
      </c>
      <c r="D123" s="16" t="s">
        <v>70</v>
      </c>
      <c r="E123" s="16" t="s">
        <v>11</v>
      </c>
      <c r="F123" s="16" t="s">
        <v>64</v>
      </c>
      <c r="G123" s="16" t="s">
        <v>65</v>
      </c>
      <c r="H123" s="16">
        <v>9</v>
      </c>
      <c r="I123" s="16">
        <v>24.5</v>
      </c>
      <c r="J123" s="16">
        <v>24.52</v>
      </c>
      <c r="K123" s="16">
        <v>0.08</v>
      </c>
      <c r="L123" s="16">
        <v>3.9E-2</v>
      </c>
    </row>
    <row r="124" spans="1:12" ht="18" customHeight="1" x14ac:dyDescent="0.3">
      <c r="A124" s="14">
        <v>46038</v>
      </c>
      <c r="B124" s="15">
        <v>46039.174305555556</v>
      </c>
      <c r="C124" s="16">
        <v>9</v>
      </c>
      <c r="D124" s="16" t="s">
        <v>70</v>
      </c>
      <c r="E124" s="16" t="s">
        <v>11</v>
      </c>
      <c r="F124" s="16" t="s">
        <v>50</v>
      </c>
      <c r="G124" s="16" t="s">
        <v>51</v>
      </c>
      <c r="H124" s="16">
        <v>15</v>
      </c>
      <c r="I124" s="16">
        <v>17</v>
      </c>
      <c r="J124" s="16">
        <v>16.971</v>
      </c>
      <c r="K124" s="16">
        <v>0.08</v>
      </c>
      <c r="L124" s="16">
        <v>5.3999999999999999E-2</v>
      </c>
    </row>
    <row r="125" spans="1:12" ht="18" customHeight="1" x14ac:dyDescent="0.3">
      <c r="A125" s="14">
        <v>46038</v>
      </c>
      <c r="B125" s="15">
        <v>46039.173611111109</v>
      </c>
      <c r="C125" s="16">
        <v>36</v>
      </c>
      <c r="D125" s="16" t="s">
        <v>70</v>
      </c>
      <c r="E125" s="16" t="s">
        <v>11</v>
      </c>
      <c r="F125" s="16" t="s">
        <v>72</v>
      </c>
      <c r="G125" s="16" t="s">
        <v>51</v>
      </c>
      <c r="H125" s="16">
        <v>15</v>
      </c>
      <c r="I125" s="16">
        <v>17</v>
      </c>
      <c r="J125" s="16">
        <v>16.698</v>
      </c>
      <c r="K125" s="16">
        <v>0.08</v>
      </c>
      <c r="L125" s="16">
        <v>0.1</v>
      </c>
    </row>
    <row r="126" spans="1:12" ht="18" customHeight="1" x14ac:dyDescent="0.3">
      <c r="A126" s="14">
        <v>46038</v>
      </c>
      <c r="B126" s="15">
        <v>46039.173611111109</v>
      </c>
      <c r="C126" s="16">
        <v>28</v>
      </c>
      <c r="D126" s="16" t="s">
        <v>70</v>
      </c>
      <c r="E126" s="16" t="s">
        <v>11</v>
      </c>
      <c r="F126" s="16" t="s">
        <v>56</v>
      </c>
      <c r="G126" s="16" t="s">
        <v>57</v>
      </c>
      <c r="H126" s="16">
        <v>24</v>
      </c>
      <c r="I126" s="16">
        <v>24.5</v>
      </c>
      <c r="J126" s="16">
        <v>24.442</v>
      </c>
      <c r="K126" s="16">
        <v>0.08</v>
      </c>
      <c r="L126" s="16">
        <v>4.4999999999999998E-2</v>
      </c>
    </row>
    <row r="127" spans="1:12" ht="18" customHeight="1" x14ac:dyDescent="0.3">
      <c r="A127" s="14">
        <v>46038</v>
      </c>
      <c r="B127" s="15">
        <v>46039.172222222223</v>
      </c>
      <c r="C127" s="16">
        <v>34</v>
      </c>
      <c r="D127" s="16" t="s">
        <v>70</v>
      </c>
      <c r="E127" s="16" t="s">
        <v>11</v>
      </c>
      <c r="F127" s="16" t="s">
        <v>71</v>
      </c>
      <c r="G127" s="16" t="s">
        <v>61</v>
      </c>
      <c r="H127" s="16">
        <v>9</v>
      </c>
      <c r="I127" s="16">
        <v>24.5</v>
      </c>
      <c r="J127" s="16">
        <v>24.526</v>
      </c>
      <c r="K127" s="16">
        <v>0.08</v>
      </c>
      <c r="L127" s="16">
        <v>5.7000000000000002E-2</v>
      </c>
    </row>
    <row r="128" spans="1:12" ht="18" customHeight="1" x14ac:dyDescent="0.3">
      <c r="A128" s="14">
        <v>46038</v>
      </c>
      <c r="B128" s="15">
        <v>46039.171527777777</v>
      </c>
      <c r="C128" s="16">
        <v>38</v>
      </c>
      <c r="D128" s="16" t="s">
        <v>70</v>
      </c>
      <c r="E128" s="16" t="s">
        <v>11</v>
      </c>
      <c r="F128" s="16" t="s">
        <v>76</v>
      </c>
      <c r="G128" s="16" t="s">
        <v>77</v>
      </c>
      <c r="H128" s="16">
        <v>9</v>
      </c>
      <c r="I128" s="16">
        <v>24.5</v>
      </c>
      <c r="J128" s="16">
        <v>24.539000000000001</v>
      </c>
      <c r="K128" s="16">
        <v>0.08</v>
      </c>
      <c r="L128" s="16">
        <v>5.7000000000000002E-2</v>
      </c>
    </row>
    <row r="129" spans="1:12" ht="18" customHeight="1" x14ac:dyDescent="0.3">
      <c r="A129" s="14">
        <v>46038</v>
      </c>
      <c r="B129" s="15">
        <v>46039.170138888891</v>
      </c>
      <c r="C129" s="16">
        <v>26</v>
      </c>
      <c r="D129" s="16" t="s">
        <v>70</v>
      </c>
      <c r="E129" s="16" t="s">
        <v>11</v>
      </c>
      <c r="F129" s="16" t="s">
        <v>50</v>
      </c>
      <c r="G129" s="16" t="s">
        <v>51</v>
      </c>
      <c r="H129" s="16">
        <v>15</v>
      </c>
      <c r="I129" s="16">
        <v>17</v>
      </c>
      <c r="J129" s="16">
        <v>17.015000000000001</v>
      </c>
      <c r="K129" s="16">
        <v>0.08</v>
      </c>
      <c r="L129" s="16">
        <v>7.3999999999999996E-2</v>
      </c>
    </row>
    <row r="130" spans="1:12" ht="18" customHeight="1" x14ac:dyDescent="0.3">
      <c r="A130" s="14">
        <v>46038</v>
      </c>
      <c r="B130" s="15">
        <v>46039.170138888891</v>
      </c>
      <c r="C130" s="16">
        <v>38</v>
      </c>
      <c r="D130" s="16" t="s">
        <v>70</v>
      </c>
      <c r="E130" s="16" t="s">
        <v>11</v>
      </c>
      <c r="F130" s="16" t="s">
        <v>76</v>
      </c>
      <c r="G130" s="16" t="s">
        <v>77</v>
      </c>
      <c r="H130" s="16">
        <v>9</v>
      </c>
      <c r="I130" s="16">
        <v>24.5</v>
      </c>
      <c r="J130" s="16">
        <v>24.555</v>
      </c>
      <c r="K130" s="16">
        <v>0.08</v>
      </c>
      <c r="L130" s="16">
        <v>5.5E-2</v>
      </c>
    </row>
    <row r="131" spans="1:12" ht="18" customHeight="1" x14ac:dyDescent="0.3">
      <c r="A131" s="14">
        <v>46038</v>
      </c>
      <c r="B131" s="15">
        <v>46039.168055555558</v>
      </c>
      <c r="C131" s="16">
        <v>10</v>
      </c>
      <c r="D131" s="16" t="s">
        <v>70</v>
      </c>
      <c r="E131" s="16" t="s">
        <v>11</v>
      </c>
      <c r="F131" s="16" t="s">
        <v>54</v>
      </c>
      <c r="G131" s="16" t="s">
        <v>55</v>
      </c>
      <c r="H131" s="16">
        <v>2</v>
      </c>
      <c r="I131" s="16">
        <v>24.5</v>
      </c>
      <c r="J131" s="16">
        <v>24.497</v>
      </c>
      <c r="K131" s="16">
        <v>0.08</v>
      </c>
      <c r="L131" s="16">
        <v>4.7E-2</v>
      </c>
    </row>
    <row r="132" spans="1:12" ht="18" customHeight="1" x14ac:dyDescent="0.3">
      <c r="A132" s="14">
        <v>46038</v>
      </c>
      <c r="B132" s="15">
        <v>46039.165972222225</v>
      </c>
      <c r="C132" s="16">
        <v>38</v>
      </c>
      <c r="D132" s="16" t="s">
        <v>70</v>
      </c>
      <c r="E132" s="16" t="s">
        <v>11</v>
      </c>
      <c r="F132" s="16" t="s">
        <v>76</v>
      </c>
      <c r="G132" s="16" t="s">
        <v>77</v>
      </c>
      <c r="H132" s="16">
        <v>9</v>
      </c>
      <c r="I132" s="16">
        <v>24.5</v>
      </c>
      <c r="J132" s="16">
        <v>24.625</v>
      </c>
      <c r="K132" s="16">
        <v>0.08</v>
      </c>
      <c r="L132" s="16">
        <v>3.5999999999999997E-2</v>
      </c>
    </row>
    <row r="133" spans="1:12" ht="18" customHeight="1" x14ac:dyDescent="0.3">
      <c r="A133" s="14">
        <v>46038</v>
      </c>
      <c r="B133" s="15">
        <v>46039.162499999999</v>
      </c>
      <c r="C133" s="16">
        <v>38</v>
      </c>
      <c r="D133" s="16" t="s">
        <v>70</v>
      </c>
      <c r="E133" s="16" t="s">
        <v>11</v>
      </c>
      <c r="F133" s="16" t="s">
        <v>76</v>
      </c>
      <c r="G133" s="16" t="s">
        <v>77</v>
      </c>
      <c r="H133" s="16">
        <v>9</v>
      </c>
      <c r="I133" s="16">
        <v>24.5</v>
      </c>
      <c r="J133" s="16">
        <v>24.613</v>
      </c>
      <c r="K133" s="16">
        <v>0.08</v>
      </c>
      <c r="L133" s="16">
        <v>3.2000000000000001E-2</v>
      </c>
    </row>
    <row r="134" spans="1:12" ht="18" customHeight="1" x14ac:dyDescent="0.3">
      <c r="A134" s="14">
        <v>46038</v>
      </c>
      <c r="B134" s="15">
        <v>46039.15902777778</v>
      </c>
      <c r="C134" s="16">
        <v>25</v>
      </c>
      <c r="D134" s="16" t="s">
        <v>70</v>
      </c>
      <c r="E134" s="16" t="s">
        <v>11</v>
      </c>
      <c r="F134" s="16" t="s">
        <v>58</v>
      </c>
      <c r="G134" s="16" t="s">
        <v>59</v>
      </c>
      <c r="H134" s="16">
        <v>4</v>
      </c>
      <c r="I134" s="16">
        <v>24.5</v>
      </c>
      <c r="J134" s="16">
        <v>24.579000000000001</v>
      </c>
      <c r="K134" s="16">
        <v>0.08</v>
      </c>
      <c r="L134" s="16">
        <v>4.7E-2</v>
      </c>
    </row>
    <row r="135" spans="1:12" ht="18" customHeight="1" x14ac:dyDescent="0.3">
      <c r="A135" s="14">
        <v>46038</v>
      </c>
      <c r="B135" s="15">
        <v>46039.158333333333</v>
      </c>
      <c r="C135" s="16">
        <v>26</v>
      </c>
      <c r="D135" s="16" t="s">
        <v>70</v>
      </c>
      <c r="E135" s="16" t="s">
        <v>11</v>
      </c>
      <c r="F135" s="16" t="s">
        <v>50</v>
      </c>
      <c r="G135" s="16" t="s">
        <v>51</v>
      </c>
      <c r="H135" s="16">
        <v>15</v>
      </c>
      <c r="I135" s="16">
        <v>17</v>
      </c>
      <c r="J135" s="16">
        <v>16.995000000000001</v>
      </c>
      <c r="K135" s="16">
        <v>0.08</v>
      </c>
      <c r="L135" s="16">
        <v>5.8999999999999997E-2</v>
      </c>
    </row>
    <row r="136" spans="1:12" ht="18" customHeight="1" x14ac:dyDescent="0.3">
      <c r="A136" s="14">
        <v>46038</v>
      </c>
      <c r="B136" s="15">
        <v>46039.149305555555</v>
      </c>
      <c r="C136" s="16">
        <v>26</v>
      </c>
      <c r="D136" s="16" t="s">
        <v>70</v>
      </c>
      <c r="E136" s="16" t="s">
        <v>11</v>
      </c>
      <c r="F136" s="16" t="s">
        <v>50</v>
      </c>
      <c r="G136" s="16" t="s">
        <v>51</v>
      </c>
      <c r="H136" s="16">
        <v>15</v>
      </c>
      <c r="I136" s="16">
        <v>17</v>
      </c>
      <c r="J136" s="16">
        <v>16.989999999999998</v>
      </c>
      <c r="K136" s="16">
        <v>0.08</v>
      </c>
      <c r="L136" s="16">
        <v>6.3E-2</v>
      </c>
    </row>
    <row r="137" spans="1:12" ht="18" customHeight="1" x14ac:dyDescent="0.3">
      <c r="A137" s="14">
        <v>46038</v>
      </c>
      <c r="B137" s="15">
        <v>46039.145138888889</v>
      </c>
      <c r="C137" s="16">
        <v>37</v>
      </c>
      <c r="D137" s="16" t="s">
        <v>70</v>
      </c>
      <c r="E137" s="16" t="s">
        <v>11</v>
      </c>
      <c r="F137" s="16" t="s">
        <v>52</v>
      </c>
      <c r="G137" s="16" t="s">
        <v>53</v>
      </c>
      <c r="H137" s="16">
        <v>5</v>
      </c>
      <c r="I137" s="16">
        <v>24.5</v>
      </c>
      <c r="J137" s="16">
        <v>24.459</v>
      </c>
      <c r="K137" s="16">
        <v>0.08</v>
      </c>
      <c r="L137" s="16">
        <v>0.09</v>
      </c>
    </row>
    <row r="138" spans="1:12" ht="18" customHeight="1" x14ac:dyDescent="0.3">
      <c r="A138" s="14">
        <v>46038</v>
      </c>
      <c r="B138" s="15">
        <v>46039.142361111109</v>
      </c>
      <c r="C138" s="16">
        <v>34</v>
      </c>
      <c r="D138" s="16" t="s">
        <v>70</v>
      </c>
      <c r="E138" s="16" t="s">
        <v>11</v>
      </c>
      <c r="F138" s="16" t="s">
        <v>71</v>
      </c>
      <c r="G138" s="16" t="s">
        <v>61</v>
      </c>
      <c r="H138" s="16">
        <v>9</v>
      </c>
      <c r="I138" s="16">
        <v>24.5</v>
      </c>
      <c r="J138" s="16">
        <v>24.545000000000002</v>
      </c>
      <c r="K138" s="16">
        <v>0.08</v>
      </c>
      <c r="L138" s="16">
        <v>4.4999999999999998E-2</v>
      </c>
    </row>
    <row r="139" spans="1:12" ht="18" customHeight="1" x14ac:dyDescent="0.3">
      <c r="A139" s="14">
        <v>46038</v>
      </c>
      <c r="B139" s="15">
        <v>46039.13958333333</v>
      </c>
      <c r="C139" s="16">
        <v>24</v>
      </c>
      <c r="D139" s="16" t="s">
        <v>70</v>
      </c>
      <c r="E139" s="16" t="s">
        <v>11</v>
      </c>
      <c r="F139" s="16" t="s">
        <v>56</v>
      </c>
      <c r="G139" s="16" t="s">
        <v>57</v>
      </c>
      <c r="H139" s="16">
        <v>24</v>
      </c>
      <c r="I139" s="16">
        <v>24.5</v>
      </c>
      <c r="J139" s="16">
        <v>24.52</v>
      </c>
      <c r="K139" s="16">
        <v>0.08</v>
      </c>
      <c r="L139" s="16">
        <v>4.1000000000000002E-2</v>
      </c>
    </row>
    <row r="140" spans="1:12" ht="18" customHeight="1" x14ac:dyDescent="0.3">
      <c r="A140" s="14">
        <v>46038</v>
      </c>
      <c r="B140" s="15">
        <v>46039.138194444444</v>
      </c>
      <c r="C140" s="16">
        <v>34</v>
      </c>
      <c r="D140" s="16" t="s">
        <v>70</v>
      </c>
      <c r="E140" s="16" t="s">
        <v>11</v>
      </c>
      <c r="F140" s="16" t="s">
        <v>71</v>
      </c>
      <c r="G140" s="16" t="s">
        <v>61</v>
      </c>
      <c r="H140" s="16">
        <v>9</v>
      </c>
      <c r="I140" s="16">
        <v>24.5</v>
      </c>
      <c r="J140" s="16">
        <v>24.605</v>
      </c>
      <c r="K140" s="16">
        <v>0.08</v>
      </c>
      <c r="L140" s="16">
        <v>6.5000000000000002E-2</v>
      </c>
    </row>
    <row r="141" spans="1:12" ht="18" customHeight="1" x14ac:dyDescent="0.3">
      <c r="A141" s="14">
        <v>46038</v>
      </c>
      <c r="B141" s="15">
        <v>46039.136111111111</v>
      </c>
      <c r="C141" s="16">
        <v>28</v>
      </c>
      <c r="D141" s="16" t="s">
        <v>70</v>
      </c>
      <c r="E141" s="16" t="s">
        <v>11</v>
      </c>
      <c r="F141" s="16" t="s">
        <v>56</v>
      </c>
      <c r="G141" s="16" t="s">
        <v>57</v>
      </c>
      <c r="H141" s="16">
        <v>24</v>
      </c>
      <c r="I141" s="16">
        <v>24.5</v>
      </c>
      <c r="J141" s="16">
        <v>24.465</v>
      </c>
      <c r="K141" s="16">
        <v>0.08</v>
      </c>
      <c r="L141" s="16">
        <v>4.7E-2</v>
      </c>
    </row>
    <row r="142" spans="1:12" ht="18" customHeight="1" x14ac:dyDescent="0.3">
      <c r="A142" s="14">
        <v>46038</v>
      </c>
      <c r="B142" s="15">
        <v>46039.136111111111</v>
      </c>
      <c r="C142" s="16">
        <v>11</v>
      </c>
      <c r="D142" s="16" t="s">
        <v>70</v>
      </c>
      <c r="E142" s="16" t="s">
        <v>11</v>
      </c>
      <c r="F142" s="16" t="s">
        <v>50</v>
      </c>
      <c r="G142" s="16" t="s">
        <v>51</v>
      </c>
      <c r="H142" s="16">
        <v>15</v>
      </c>
      <c r="I142" s="16">
        <v>17</v>
      </c>
      <c r="J142" s="16">
        <v>16.867000000000001</v>
      </c>
      <c r="K142" s="16">
        <v>0.08</v>
      </c>
      <c r="L142" s="16">
        <v>6.5000000000000002E-2</v>
      </c>
    </row>
    <row r="143" spans="1:12" ht="18" customHeight="1" x14ac:dyDescent="0.3">
      <c r="A143" s="14">
        <v>46038</v>
      </c>
      <c r="B143" s="15">
        <v>46039.136111111111</v>
      </c>
      <c r="C143" s="16">
        <v>35</v>
      </c>
      <c r="D143" s="16" t="s">
        <v>70</v>
      </c>
      <c r="E143" s="16" t="s">
        <v>11</v>
      </c>
      <c r="F143" s="16" t="s">
        <v>73</v>
      </c>
      <c r="G143" s="16" t="s">
        <v>63</v>
      </c>
      <c r="H143" s="16">
        <v>14</v>
      </c>
      <c r="I143" s="16">
        <v>24.5</v>
      </c>
      <c r="J143" s="16">
        <v>24.449000000000002</v>
      </c>
      <c r="K143" s="16">
        <v>0.08</v>
      </c>
      <c r="L143" s="16">
        <v>4.1000000000000002E-2</v>
      </c>
    </row>
    <row r="144" spans="1:12" ht="18" customHeight="1" x14ac:dyDescent="0.3">
      <c r="A144" s="14">
        <v>46038</v>
      </c>
      <c r="B144" s="15">
        <v>46039.134722222225</v>
      </c>
      <c r="C144" s="16">
        <v>27</v>
      </c>
      <c r="D144" s="16" t="s">
        <v>70</v>
      </c>
      <c r="E144" s="16" t="s">
        <v>11</v>
      </c>
      <c r="F144" s="16" t="s">
        <v>60</v>
      </c>
      <c r="G144" s="16" t="s">
        <v>61</v>
      </c>
      <c r="H144" s="16">
        <v>2</v>
      </c>
      <c r="I144" s="16">
        <v>24.5</v>
      </c>
      <c r="J144" s="16">
        <v>24.463999999999999</v>
      </c>
      <c r="K144" s="16">
        <v>0.08</v>
      </c>
      <c r="L144" s="16">
        <v>0.08</v>
      </c>
    </row>
    <row r="145" spans="1:12" ht="18" customHeight="1" x14ac:dyDescent="0.3">
      <c r="A145" s="14">
        <v>46038</v>
      </c>
      <c r="B145" s="15">
        <v>46039.134722222225</v>
      </c>
      <c r="C145" s="16">
        <v>33</v>
      </c>
      <c r="D145" s="16" t="s">
        <v>70</v>
      </c>
      <c r="E145" s="16" t="s">
        <v>11</v>
      </c>
      <c r="F145" s="16" t="s">
        <v>64</v>
      </c>
      <c r="G145" s="16" t="s">
        <v>65</v>
      </c>
      <c r="H145" s="16">
        <v>9</v>
      </c>
      <c r="I145" s="16">
        <v>24.5</v>
      </c>
      <c r="J145" s="16">
        <v>24.547000000000001</v>
      </c>
      <c r="K145" s="16">
        <v>0.08</v>
      </c>
      <c r="L145" s="16">
        <v>4.9000000000000002E-2</v>
      </c>
    </row>
    <row r="146" spans="1:12" ht="18" customHeight="1" x14ac:dyDescent="0.3">
      <c r="A146" s="14">
        <v>46038</v>
      </c>
      <c r="B146" s="15">
        <v>46039.132638888892</v>
      </c>
      <c r="C146" s="16">
        <v>36</v>
      </c>
      <c r="D146" s="16" t="s">
        <v>70</v>
      </c>
      <c r="E146" s="16" t="s">
        <v>11</v>
      </c>
      <c r="F146" s="16" t="s">
        <v>72</v>
      </c>
      <c r="G146" s="16" t="s">
        <v>51</v>
      </c>
      <c r="H146" s="16">
        <v>15</v>
      </c>
      <c r="I146" s="16">
        <v>17</v>
      </c>
      <c r="J146" s="16">
        <v>16.82</v>
      </c>
      <c r="K146" s="16">
        <v>0.08</v>
      </c>
      <c r="L146" s="16">
        <v>0.06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8788-A8B8-4CB8-8E63-3303D8D5B825}">
  <dimension ref="A2:D26"/>
  <sheetViews>
    <sheetView workbookViewId="0">
      <selection activeCell="A2" sqref="A2:D26"/>
    </sheetView>
  </sheetViews>
  <sheetFormatPr defaultRowHeight="14.4" x14ac:dyDescent="0.3"/>
  <cols>
    <col min="2" max="2" width="16.21875" bestFit="1" customWidth="1"/>
    <col min="3" max="3" width="16.5546875" bestFit="1" customWidth="1"/>
    <col min="4" max="4" width="12.33203125" bestFit="1" customWidth="1"/>
  </cols>
  <sheetData>
    <row r="2" spans="1:4" x14ac:dyDescent="0.3">
      <c r="A2" s="19"/>
      <c r="B2" s="19"/>
      <c r="C2" s="19" t="s">
        <v>86</v>
      </c>
      <c r="D2" s="19"/>
    </row>
    <row r="3" spans="1:4" x14ac:dyDescent="0.3">
      <c r="A3" s="11" t="s">
        <v>107</v>
      </c>
      <c r="B3" s="11" t="s">
        <v>108</v>
      </c>
      <c r="C3" s="11" t="s">
        <v>109</v>
      </c>
      <c r="D3" s="11" t="s">
        <v>99</v>
      </c>
    </row>
    <row r="4" spans="1:4" x14ac:dyDescent="0.3">
      <c r="A4" s="12">
        <v>9</v>
      </c>
      <c r="B4" s="6" t="s">
        <v>50</v>
      </c>
      <c r="C4" s="7">
        <v>16.93797368421053</v>
      </c>
      <c r="D4" s="30">
        <v>5.042105263157895E-2</v>
      </c>
    </row>
    <row r="5" spans="1:4" x14ac:dyDescent="0.3">
      <c r="A5" s="12">
        <v>10</v>
      </c>
      <c r="B5" s="25" t="s">
        <v>54</v>
      </c>
      <c r="C5" s="7">
        <v>24.489235294117648</v>
      </c>
      <c r="D5" s="30">
        <v>5.0558823529411753E-2</v>
      </c>
    </row>
    <row r="6" spans="1:4" x14ac:dyDescent="0.3">
      <c r="A6" s="27">
        <v>19</v>
      </c>
      <c r="B6" s="25" t="s">
        <v>79</v>
      </c>
      <c r="C6" s="7">
        <v>24.727250000000002</v>
      </c>
      <c r="D6" s="30">
        <v>6.7250000000000004E-2</v>
      </c>
    </row>
    <row r="7" spans="1:4" x14ac:dyDescent="0.3">
      <c r="A7" s="12">
        <v>20</v>
      </c>
      <c r="B7" s="25" t="s">
        <v>69</v>
      </c>
      <c r="C7" s="7">
        <v>16.919909090909087</v>
      </c>
      <c r="D7" s="30">
        <v>7.8575757575757577E-2</v>
      </c>
    </row>
    <row r="8" spans="1:4" x14ac:dyDescent="0.3">
      <c r="A8" s="27">
        <v>22</v>
      </c>
      <c r="B8" s="25" t="s">
        <v>90</v>
      </c>
      <c r="C8" s="7">
        <v>24.524857142857144</v>
      </c>
      <c r="D8" s="30">
        <v>9.3571428571428555E-2</v>
      </c>
    </row>
    <row r="9" spans="1:4" x14ac:dyDescent="0.3">
      <c r="A9" s="12">
        <v>24</v>
      </c>
      <c r="B9" s="6" t="s">
        <v>56</v>
      </c>
      <c r="C9" s="7">
        <v>24.493233333333333</v>
      </c>
      <c r="D9" s="30">
        <v>5.3633333333333338E-2</v>
      </c>
    </row>
    <row r="10" spans="1:4" x14ac:dyDescent="0.3">
      <c r="A10" s="12">
        <v>25</v>
      </c>
      <c r="B10" s="25" t="s">
        <v>58</v>
      </c>
      <c r="C10" s="7">
        <v>24.523571428571426</v>
      </c>
      <c r="D10" s="30">
        <v>6.1314285714285696E-2</v>
      </c>
    </row>
    <row r="11" spans="1:4" x14ac:dyDescent="0.3">
      <c r="A11" s="12">
        <v>26</v>
      </c>
      <c r="B11" s="6" t="s">
        <v>50</v>
      </c>
      <c r="C11" s="7">
        <v>16.954620689655172</v>
      </c>
      <c r="D11" s="30">
        <v>6.1241379310344804E-2</v>
      </c>
    </row>
    <row r="12" spans="1:4" x14ac:dyDescent="0.3">
      <c r="A12" s="12">
        <v>27</v>
      </c>
      <c r="B12" s="6" t="s">
        <v>60</v>
      </c>
      <c r="C12" s="7">
        <v>24.513931034482756</v>
      </c>
      <c r="D12" s="30">
        <v>6.7862068965517247E-2</v>
      </c>
    </row>
    <row r="13" spans="1:4" x14ac:dyDescent="0.3">
      <c r="A13" s="12">
        <v>28</v>
      </c>
      <c r="B13" s="6" t="s">
        <v>56</v>
      </c>
      <c r="C13" s="7">
        <v>24.505636363636366</v>
      </c>
      <c r="D13" s="30">
        <v>5.1242424242424235E-2</v>
      </c>
    </row>
    <row r="14" spans="1:4" x14ac:dyDescent="0.3">
      <c r="A14" s="12">
        <v>31</v>
      </c>
      <c r="B14" s="25" t="s">
        <v>92</v>
      </c>
      <c r="C14" s="7">
        <v>24.557375</v>
      </c>
      <c r="D14" s="30">
        <v>8.8249999999999995E-2</v>
      </c>
    </row>
    <row r="15" spans="1:4" x14ac:dyDescent="0.3">
      <c r="A15" s="12"/>
      <c r="B15" s="25" t="s">
        <v>101</v>
      </c>
      <c r="C15" s="6">
        <v>24.420125000000006</v>
      </c>
      <c r="D15" s="6">
        <v>0.108625</v>
      </c>
    </row>
    <row r="16" spans="1:4" x14ac:dyDescent="0.3">
      <c r="A16" s="12">
        <v>33</v>
      </c>
      <c r="B16" s="25" t="s">
        <v>64</v>
      </c>
      <c r="C16" s="7">
        <v>24.501833333333337</v>
      </c>
      <c r="D16" s="30">
        <v>5.8055555555555555E-2</v>
      </c>
    </row>
    <row r="17" spans="1:4" x14ac:dyDescent="0.3">
      <c r="A17" s="12">
        <v>34</v>
      </c>
      <c r="B17" s="25" t="s">
        <v>78</v>
      </c>
      <c r="C17" s="7">
        <v>24.546250000000001</v>
      </c>
      <c r="D17" s="30">
        <v>5.5750000000000008E-2</v>
      </c>
    </row>
    <row r="18" spans="1:4" x14ac:dyDescent="0.3">
      <c r="A18" s="12"/>
      <c r="B18" s="25" t="s">
        <v>71</v>
      </c>
      <c r="C18" s="7">
        <v>24.531499999999998</v>
      </c>
      <c r="D18" s="30">
        <v>5.4333333333333324E-2</v>
      </c>
    </row>
    <row r="19" spans="1:4" x14ac:dyDescent="0.3">
      <c r="A19" s="12">
        <v>35</v>
      </c>
      <c r="B19" s="25" t="s">
        <v>62</v>
      </c>
      <c r="C19" s="7">
        <v>24.471166666666665</v>
      </c>
      <c r="D19" s="30">
        <v>6.5166666666666664E-2</v>
      </c>
    </row>
    <row r="20" spans="1:4" x14ac:dyDescent="0.3">
      <c r="A20" s="12"/>
      <c r="B20" s="6" t="s">
        <v>73</v>
      </c>
      <c r="C20" s="7">
        <v>24.520999999999994</v>
      </c>
      <c r="D20" s="30">
        <v>5.6000000000000001E-2</v>
      </c>
    </row>
    <row r="21" spans="1:4" x14ac:dyDescent="0.3">
      <c r="A21" s="12">
        <v>36</v>
      </c>
      <c r="B21" s="25" t="s">
        <v>72</v>
      </c>
      <c r="C21" s="7">
        <v>16.934476190476193</v>
      </c>
      <c r="D21" s="30">
        <v>7.2119047619047624E-2</v>
      </c>
    </row>
    <row r="22" spans="1:4" x14ac:dyDescent="0.3">
      <c r="A22" s="12">
        <v>37</v>
      </c>
      <c r="B22" s="25" t="s">
        <v>52</v>
      </c>
      <c r="C22" s="7">
        <v>24.523866666666667</v>
      </c>
      <c r="D22" s="30">
        <v>7.3033333333333325E-2</v>
      </c>
    </row>
    <row r="23" spans="1:4" x14ac:dyDescent="0.3">
      <c r="A23" s="12">
        <v>38</v>
      </c>
      <c r="B23" s="6" t="s">
        <v>52</v>
      </c>
      <c r="C23" s="7">
        <v>24.481999999999999</v>
      </c>
      <c r="D23" s="30">
        <v>4.1869565217391318E-2</v>
      </c>
    </row>
    <row r="24" spans="1:4" x14ac:dyDescent="0.3">
      <c r="A24" s="12"/>
      <c r="B24" s="25" t="s">
        <v>76</v>
      </c>
      <c r="C24" s="7">
        <v>24.576499999999999</v>
      </c>
      <c r="D24" s="30">
        <v>4.6499999999999993E-2</v>
      </c>
    </row>
    <row r="25" spans="1:4" x14ac:dyDescent="0.3">
      <c r="A25" s="27">
        <v>11</v>
      </c>
      <c r="B25" s="25" t="s">
        <v>50</v>
      </c>
      <c r="C25" s="7">
        <v>16.909606060606055</v>
      </c>
      <c r="D25" s="30">
        <v>7.2575757575757557E-2</v>
      </c>
    </row>
    <row r="26" spans="1:4" x14ac:dyDescent="0.3">
      <c r="A26" s="11" t="s">
        <v>49</v>
      </c>
      <c r="B26" s="11"/>
      <c r="C26" s="13">
        <v>21.857598000000003</v>
      </c>
      <c r="D26" s="31">
        <v>6.3046000000000033E-2</v>
      </c>
    </row>
  </sheetData>
  <conditionalFormatting sqref="D2:D3">
    <cfRule type="cellIs" dxfId="8" priority="1" operator="greaterThan">
      <formula>0.08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6674-BCFD-4BCA-9C96-F725D0E5E9B3}">
  <dimension ref="A1:L118"/>
  <sheetViews>
    <sheetView workbookViewId="0">
      <selection sqref="A1:L1"/>
    </sheetView>
  </sheetViews>
  <sheetFormatPr defaultRowHeight="14.4" x14ac:dyDescent="0.3"/>
  <cols>
    <col min="1" max="1" width="10.44140625" bestFit="1" customWidth="1"/>
    <col min="2" max="2" width="15.5546875" bestFit="1" customWidth="1"/>
    <col min="6" max="6" width="19.5546875" customWidth="1"/>
  </cols>
  <sheetData>
    <row r="1" spans="1:12" x14ac:dyDescent="0.3">
      <c r="A1" t="s">
        <v>94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103</v>
      </c>
      <c r="I1" t="s">
        <v>110</v>
      </c>
      <c r="J1" t="s">
        <v>105</v>
      </c>
      <c r="K1" t="s">
        <v>106</v>
      </c>
      <c r="L1" t="s">
        <v>105</v>
      </c>
    </row>
    <row r="2" spans="1:12" ht="15.45" customHeight="1" x14ac:dyDescent="0.3">
      <c r="A2" s="14">
        <v>46036</v>
      </c>
      <c r="B2" s="15">
        <v>46036.345833333333</v>
      </c>
      <c r="C2" s="16">
        <v>38</v>
      </c>
      <c r="D2" s="16" t="s">
        <v>66</v>
      </c>
      <c r="E2" s="16" t="s">
        <v>8</v>
      </c>
      <c r="F2" s="16" t="s">
        <v>52</v>
      </c>
      <c r="G2" s="16" t="s">
        <v>53</v>
      </c>
      <c r="H2" s="16">
        <v>5</v>
      </c>
      <c r="I2" s="16">
        <v>24</v>
      </c>
      <c r="J2" s="16">
        <v>24.48</v>
      </c>
      <c r="K2" s="16">
        <v>2</v>
      </c>
      <c r="L2" s="16">
        <v>1.72</v>
      </c>
    </row>
    <row r="3" spans="1:12" ht="15.45" customHeight="1" x14ac:dyDescent="0.3">
      <c r="A3" s="14">
        <v>46036</v>
      </c>
      <c r="B3" s="15">
        <v>46036.343055555553</v>
      </c>
      <c r="C3" s="16">
        <v>10</v>
      </c>
      <c r="D3" s="16" t="s">
        <v>66</v>
      </c>
      <c r="E3" s="16" t="s">
        <v>8</v>
      </c>
      <c r="F3" s="16" t="s">
        <v>67</v>
      </c>
      <c r="G3" s="16" t="s">
        <v>68</v>
      </c>
      <c r="H3" s="16">
        <v>10</v>
      </c>
      <c r="I3" s="16">
        <v>24</v>
      </c>
      <c r="J3" s="16">
        <v>23.92</v>
      </c>
      <c r="K3" s="16">
        <v>2</v>
      </c>
      <c r="L3" s="16">
        <v>1.18</v>
      </c>
    </row>
    <row r="4" spans="1:12" ht="15.45" customHeight="1" x14ac:dyDescent="0.3">
      <c r="A4" s="14">
        <v>46036</v>
      </c>
      <c r="B4" s="15">
        <v>46036.339583333334</v>
      </c>
      <c r="C4" s="16">
        <v>10</v>
      </c>
      <c r="D4" s="16" t="s">
        <v>66</v>
      </c>
      <c r="E4" s="16" t="s">
        <v>8</v>
      </c>
      <c r="F4" s="16" t="s">
        <v>67</v>
      </c>
      <c r="G4" s="16" t="s">
        <v>68</v>
      </c>
      <c r="H4" s="16">
        <v>10</v>
      </c>
      <c r="I4" s="16">
        <v>24</v>
      </c>
      <c r="J4" s="16">
        <v>22.83</v>
      </c>
      <c r="K4" s="16">
        <v>2</v>
      </c>
      <c r="L4" s="16">
        <v>1.59</v>
      </c>
    </row>
    <row r="5" spans="1:12" ht="15.45" customHeight="1" x14ac:dyDescent="0.3">
      <c r="A5" s="14">
        <v>46036</v>
      </c>
      <c r="B5" s="15">
        <v>46036.320833333331</v>
      </c>
      <c r="C5" s="16">
        <v>20</v>
      </c>
      <c r="D5" s="16" t="s">
        <v>66</v>
      </c>
      <c r="E5" s="16" t="s">
        <v>8</v>
      </c>
      <c r="F5" s="16" t="s">
        <v>69</v>
      </c>
      <c r="G5" s="16" t="s">
        <v>51</v>
      </c>
      <c r="H5" s="16">
        <v>12</v>
      </c>
      <c r="I5" s="16">
        <v>35</v>
      </c>
      <c r="J5" s="16">
        <v>38.130000000000003</v>
      </c>
      <c r="K5" s="16">
        <v>2</v>
      </c>
      <c r="L5" s="16">
        <v>2.2400000000000002</v>
      </c>
    </row>
    <row r="6" spans="1:12" ht="15.45" customHeight="1" x14ac:dyDescent="0.3">
      <c r="A6" s="14">
        <v>46036</v>
      </c>
      <c r="B6" s="15">
        <v>46036.319444444445</v>
      </c>
      <c r="C6" s="16">
        <v>9</v>
      </c>
      <c r="D6" s="16" t="s">
        <v>66</v>
      </c>
      <c r="E6" s="16" t="s">
        <v>8</v>
      </c>
      <c r="F6" s="16" t="s">
        <v>50</v>
      </c>
      <c r="G6" s="16" t="s">
        <v>51</v>
      </c>
      <c r="H6" s="16">
        <v>12</v>
      </c>
      <c r="I6" s="16">
        <v>35</v>
      </c>
      <c r="J6" s="16">
        <v>34.479999999999997</v>
      </c>
      <c r="K6" s="16">
        <v>2</v>
      </c>
      <c r="L6" s="16">
        <v>2.4700000000000002</v>
      </c>
    </row>
    <row r="7" spans="1:12" ht="15.45" customHeight="1" x14ac:dyDescent="0.3">
      <c r="A7" s="14">
        <v>46036</v>
      </c>
      <c r="B7" s="15">
        <v>46036.318749999999</v>
      </c>
      <c r="C7" s="16">
        <v>26</v>
      </c>
      <c r="D7" s="16" t="s">
        <v>66</v>
      </c>
      <c r="E7" s="16" t="s">
        <v>8</v>
      </c>
      <c r="F7" s="16" t="s">
        <v>50</v>
      </c>
      <c r="G7" s="16" t="s">
        <v>51</v>
      </c>
      <c r="H7" s="16">
        <v>12</v>
      </c>
      <c r="I7" s="16">
        <v>35</v>
      </c>
      <c r="J7" s="16">
        <v>33.76</v>
      </c>
      <c r="K7" s="16">
        <v>2</v>
      </c>
      <c r="L7" s="16">
        <v>2.0699999999999998</v>
      </c>
    </row>
    <row r="8" spans="1:12" ht="15.45" customHeight="1" x14ac:dyDescent="0.3">
      <c r="A8" s="14">
        <v>46036</v>
      </c>
      <c r="B8" s="15">
        <v>46036.31527777778</v>
      </c>
      <c r="C8" s="16">
        <v>26</v>
      </c>
      <c r="D8" s="16" t="s">
        <v>66</v>
      </c>
      <c r="E8" s="16" t="s">
        <v>8</v>
      </c>
      <c r="F8" s="16" t="s">
        <v>50</v>
      </c>
      <c r="G8" s="16" t="s">
        <v>51</v>
      </c>
      <c r="H8" s="16">
        <v>12</v>
      </c>
      <c r="I8" s="16">
        <v>35</v>
      </c>
      <c r="J8" s="16">
        <v>35.74</v>
      </c>
      <c r="K8" s="16">
        <v>2</v>
      </c>
      <c r="L8" s="16">
        <v>2.52</v>
      </c>
    </row>
    <row r="9" spans="1:12" ht="15.45" customHeight="1" x14ac:dyDescent="0.3">
      <c r="A9" s="14">
        <v>46036</v>
      </c>
      <c r="B9" s="15">
        <v>46036.311111111114</v>
      </c>
      <c r="C9" s="16">
        <v>11</v>
      </c>
      <c r="D9" s="16" t="s">
        <v>66</v>
      </c>
      <c r="E9" s="16" t="s">
        <v>8</v>
      </c>
      <c r="F9" s="16" t="s">
        <v>50</v>
      </c>
      <c r="G9" s="16" t="s">
        <v>51</v>
      </c>
      <c r="H9" s="16">
        <v>12</v>
      </c>
      <c r="I9" s="16">
        <v>35</v>
      </c>
      <c r="J9" s="16">
        <v>34.78</v>
      </c>
      <c r="K9" s="16">
        <v>2</v>
      </c>
      <c r="L9" s="16">
        <v>2.4700000000000002</v>
      </c>
    </row>
    <row r="10" spans="1:12" ht="15.45" customHeight="1" x14ac:dyDescent="0.3">
      <c r="A10" s="14">
        <v>46036</v>
      </c>
      <c r="B10" s="15">
        <v>46036.305555555555</v>
      </c>
      <c r="C10" s="16">
        <v>11</v>
      </c>
      <c r="D10" s="16" t="s">
        <v>66</v>
      </c>
      <c r="E10" s="16" t="s">
        <v>8</v>
      </c>
      <c r="F10" s="16" t="s">
        <v>50</v>
      </c>
      <c r="G10" s="16" t="s">
        <v>51</v>
      </c>
      <c r="H10" s="16">
        <v>12</v>
      </c>
      <c r="I10" s="16">
        <v>35</v>
      </c>
      <c r="J10" s="16">
        <v>34.619999999999997</v>
      </c>
      <c r="K10" s="16">
        <v>2</v>
      </c>
      <c r="L10" s="16">
        <v>2.34</v>
      </c>
    </row>
    <row r="11" spans="1:12" ht="15.45" customHeight="1" x14ac:dyDescent="0.3">
      <c r="A11" s="14">
        <v>46036</v>
      </c>
      <c r="B11" s="15">
        <v>46036.304166666669</v>
      </c>
      <c r="C11" s="16">
        <v>36</v>
      </c>
      <c r="D11" s="16" t="s">
        <v>66</v>
      </c>
      <c r="E11" s="16" t="s">
        <v>8</v>
      </c>
      <c r="F11" s="16" t="s">
        <v>72</v>
      </c>
      <c r="G11" s="16" t="s">
        <v>51</v>
      </c>
      <c r="H11" s="16">
        <v>12</v>
      </c>
      <c r="I11" s="16">
        <v>35</v>
      </c>
      <c r="J11" s="16">
        <v>34.549999999999997</v>
      </c>
      <c r="K11" s="16">
        <v>2</v>
      </c>
      <c r="L11" s="16">
        <v>1.9</v>
      </c>
    </row>
    <row r="12" spans="1:12" ht="15.45" customHeight="1" x14ac:dyDescent="0.3">
      <c r="A12" s="14">
        <v>46036</v>
      </c>
      <c r="B12" s="15">
        <v>46036.304166666669</v>
      </c>
      <c r="C12" s="16">
        <v>20</v>
      </c>
      <c r="D12" s="16" t="s">
        <v>66</v>
      </c>
      <c r="E12" s="16" t="s">
        <v>8</v>
      </c>
      <c r="F12" s="16" t="s">
        <v>69</v>
      </c>
      <c r="G12" s="16" t="s">
        <v>51</v>
      </c>
      <c r="H12" s="16">
        <v>12</v>
      </c>
      <c r="I12" s="16">
        <v>35</v>
      </c>
      <c r="J12" s="16">
        <v>36.85</v>
      </c>
      <c r="K12" s="16">
        <v>2</v>
      </c>
      <c r="L12" s="16">
        <v>1.04</v>
      </c>
    </row>
    <row r="13" spans="1:12" ht="15.45" customHeight="1" x14ac:dyDescent="0.3">
      <c r="A13" s="14">
        <v>46036</v>
      </c>
      <c r="B13" s="15">
        <v>46036.290972222225</v>
      </c>
      <c r="C13" s="16">
        <v>38</v>
      </c>
      <c r="D13" s="16" t="s">
        <v>66</v>
      </c>
      <c r="E13" s="16" t="s">
        <v>8</v>
      </c>
      <c r="F13" s="16" t="s">
        <v>52</v>
      </c>
      <c r="G13" s="16" t="s">
        <v>53</v>
      </c>
      <c r="H13" s="16">
        <v>5</v>
      </c>
      <c r="I13" s="16">
        <v>24</v>
      </c>
      <c r="J13" s="16">
        <v>23.23</v>
      </c>
      <c r="K13" s="16">
        <v>2</v>
      </c>
      <c r="L13" s="16">
        <v>0.64</v>
      </c>
    </row>
    <row r="14" spans="1:12" ht="15.45" customHeight="1" x14ac:dyDescent="0.3">
      <c r="A14" s="14">
        <v>46036</v>
      </c>
      <c r="B14" s="15">
        <v>46036.288888888892</v>
      </c>
      <c r="C14" s="16">
        <v>10</v>
      </c>
      <c r="D14" s="16" t="s">
        <v>66</v>
      </c>
      <c r="E14" s="16" t="s">
        <v>8</v>
      </c>
      <c r="F14" s="16" t="s">
        <v>67</v>
      </c>
      <c r="G14" s="16" t="s">
        <v>68</v>
      </c>
      <c r="H14" s="16">
        <v>10</v>
      </c>
      <c r="I14" s="16">
        <v>24</v>
      </c>
      <c r="J14" s="16">
        <v>25.25</v>
      </c>
      <c r="K14" s="16">
        <v>2</v>
      </c>
      <c r="L14" s="16">
        <v>1.26</v>
      </c>
    </row>
    <row r="15" spans="1:12" ht="15.45" customHeight="1" x14ac:dyDescent="0.3">
      <c r="A15" s="14">
        <v>46036</v>
      </c>
      <c r="B15" s="15">
        <v>46036.288194444445</v>
      </c>
      <c r="C15" s="16">
        <v>38</v>
      </c>
      <c r="D15" s="16" t="s">
        <v>66</v>
      </c>
      <c r="E15" s="16" t="s">
        <v>8</v>
      </c>
      <c r="F15" s="16" t="s">
        <v>52</v>
      </c>
      <c r="G15" s="16" t="s">
        <v>53</v>
      </c>
      <c r="H15" s="16">
        <v>5</v>
      </c>
      <c r="I15" s="16">
        <v>24</v>
      </c>
      <c r="J15" s="16">
        <v>22.8</v>
      </c>
      <c r="K15" s="16">
        <v>2</v>
      </c>
      <c r="L15" s="16">
        <v>0.81</v>
      </c>
    </row>
    <row r="16" spans="1:12" ht="15.45" customHeight="1" x14ac:dyDescent="0.3">
      <c r="A16" s="14">
        <v>46036</v>
      </c>
      <c r="B16" s="15">
        <v>46036.286805555559</v>
      </c>
      <c r="C16" s="16">
        <v>10</v>
      </c>
      <c r="D16" s="16" t="s">
        <v>66</v>
      </c>
      <c r="E16" s="16" t="s">
        <v>8</v>
      </c>
      <c r="F16" s="16" t="s">
        <v>67</v>
      </c>
      <c r="G16" s="16" t="s">
        <v>68</v>
      </c>
      <c r="H16" s="16">
        <v>10</v>
      </c>
      <c r="I16" s="16">
        <v>24</v>
      </c>
      <c r="J16" s="16">
        <v>24.4</v>
      </c>
      <c r="K16" s="16">
        <v>2</v>
      </c>
      <c r="L16" s="16">
        <v>1.49</v>
      </c>
    </row>
    <row r="17" spans="1:12" ht="15.45" customHeight="1" x14ac:dyDescent="0.3">
      <c r="A17" s="14">
        <v>46036</v>
      </c>
      <c r="B17" s="15">
        <v>46036.282638888886</v>
      </c>
      <c r="C17" s="16">
        <v>9</v>
      </c>
      <c r="D17" s="16" t="s">
        <v>66</v>
      </c>
      <c r="E17" s="16" t="s">
        <v>8</v>
      </c>
      <c r="F17" s="16" t="s">
        <v>50</v>
      </c>
      <c r="G17" s="16" t="s">
        <v>51</v>
      </c>
      <c r="H17" s="16">
        <v>12</v>
      </c>
      <c r="I17" s="16">
        <v>35</v>
      </c>
      <c r="J17" s="16">
        <v>34.659999999999997</v>
      </c>
      <c r="K17" s="16">
        <v>2</v>
      </c>
      <c r="L17" s="16">
        <v>1.47</v>
      </c>
    </row>
    <row r="18" spans="1:12" ht="15.45" customHeight="1" x14ac:dyDescent="0.3">
      <c r="A18" s="14">
        <v>46036</v>
      </c>
      <c r="B18" s="15">
        <v>46036.28125</v>
      </c>
      <c r="C18" s="16">
        <v>9</v>
      </c>
      <c r="D18" s="16" t="s">
        <v>66</v>
      </c>
      <c r="E18" s="16" t="s">
        <v>8</v>
      </c>
      <c r="F18" s="16" t="s">
        <v>50</v>
      </c>
      <c r="G18" s="16" t="s">
        <v>51</v>
      </c>
      <c r="H18" s="16">
        <v>12</v>
      </c>
      <c r="I18" s="16">
        <v>35</v>
      </c>
      <c r="J18" s="16">
        <v>35.700000000000003</v>
      </c>
      <c r="K18" s="16">
        <v>2</v>
      </c>
      <c r="L18" s="16">
        <v>1.02</v>
      </c>
    </row>
    <row r="19" spans="1:12" ht="15.45" customHeight="1" x14ac:dyDescent="0.3">
      <c r="A19" s="14">
        <v>46038</v>
      </c>
      <c r="B19" s="15">
        <v>46039.262499999997</v>
      </c>
      <c r="C19" s="16">
        <v>36</v>
      </c>
      <c r="D19" s="16" t="s">
        <v>70</v>
      </c>
      <c r="E19" s="16" t="s">
        <v>11</v>
      </c>
      <c r="F19" s="16" t="s">
        <v>72</v>
      </c>
      <c r="G19" s="16" t="s">
        <v>51</v>
      </c>
      <c r="H19" s="16">
        <v>15</v>
      </c>
      <c r="I19" s="16">
        <v>35</v>
      </c>
      <c r="J19" s="16">
        <v>36.89</v>
      </c>
      <c r="K19" s="16">
        <v>2</v>
      </c>
      <c r="L19" s="16">
        <v>2.37</v>
      </c>
    </row>
    <row r="20" spans="1:12" ht="15.45" customHeight="1" x14ac:dyDescent="0.3">
      <c r="A20" s="14">
        <v>46038</v>
      </c>
      <c r="B20" s="15">
        <v>46039.258333333331</v>
      </c>
      <c r="C20" s="16">
        <v>9</v>
      </c>
      <c r="D20" s="16" t="s">
        <v>70</v>
      </c>
      <c r="E20" s="16" t="s">
        <v>11</v>
      </c>
      <c r="F20" s="16" t="s">
        <v>50</v>
      </c>
      <c r="G20" s="16" t="s">
        <v>51</v>
      </c>
      <c r="H20" s="16">
        <v>15</v>
      </c>
      <c r="I20" s="16">
        <v>35</v>
      </c>
      <c r="J20" s="16">
        <v>33.96</v>
      </c>
      <c r="K20" s="16">
        <v>2</v>
      </c>
      <c r="L20" s="16">
        <v>2.39</v>
      </c>
    </row>
    <row r="21" spans="1:12" ht="15.45" customHeight="1" x14ac:dyDescent="0.3">
      <c r="A21" s="14">
        <v>46038</v>
      </c>
      <c r="B21" s="15">
        <v>46039.257638888892</v>
      </c>
      <c r="C21" s="16">
        <v>37</v>
      </c>
      <c r="D21" s="16" t="s">
        <v>70</v>
      </c>
      <c r="E21" s="16" t="s">
        <v>11</v>
      </c>
      <c r="F21" s="16" t="s">
        <v>52</v>
      </c>
      <c r="G21" s="16" t="s">
        <v>53</v>
      </c>
      <c r="H21" s="16">
        <v>5</v>
      </c>
      <c r="I21" s="16">
        <v>24</v>
      </c>
      <c r="J21" s="16">
        <v>24.94</v>
      </c>
      <c r="K21" s="16">
        <v>2</v>
      </c>
      <c r="L21" s="16">
        <v>1.43</v>
      </c>
    </row>
    <row r="22" spans="1:12" ht="15.45" customHeight="1" x14ac:dyDescent="0.3">
      <c r="A22" s="14">
        <v>46038</v>
      </c>
      <c r="B22" s="15">
        <v>46039.256944444445</v>
      </c>
      <c r="C22" s="16">
        <v>36</v>
      </c>
      <c r="D22" s="16" t="s">
        <v>70</v>
      </c>
      <c r="E22" s="16" t="s">
        <v>11</v>
      </c>
      <c r="F22" s="16" t="s">
        <v>72</v>
      </c>
      <c r="G22" s="16" t="s">
        <v>51</v>
      </c>
      <c r="H22" s="16">
        <v>15</v>
      </c>
      <c r="I22" s="16">
        <v>35</v>
      </c>
      <c r="J22" s="16">
        <v>34.92</v>
      </c>
      <c r="K22" s="16">
        <v>2</v>
      </c>
      <c r="L22" s="16">
        <v>1.85</v>
      </c>
    </row>
    <row r="23" spans="1:12" ht="15.45" customHeight="1" x14ac:dyDescent="0.3">
      <c r="A23" s="14">
        <v>46038</v>
      </c>
      <c r="B23" s="15">
        <v>46039.253472222219</v>
      </c>
      <c r="C23" s="16">
        <v>20</v>
      </c>
      <c r="D23" s="16" t="s">
        <v>70</v>
      </c>
      <c r="E23" s="16" t="s">
        <v>11</v>
      </c>
      <c r="F23" s="16" t="s">
        <v>69</v>
      </c>
      <c r="G23" s="16" t="s">
        <v>51</v>
      </c>
      <c r="H23" s="16">
        <v>15</v>
      </c>
      <c r="I23" s="16">
        <v>35</v>
      </c>
      <c r="J23" s="16">
        <v>32.68</v>
      </c>
      <c r="K23" s="16">
        <v>2</v>
      </c>
      <c r="L23" s="16">
        <v>1.88</v>
      </c>
    </row>
    <row r="24" spans="1:12" ht="15.45" customHeight="1" x14ac:dyDescent="0.3">
      <c r="A24" s="14">
        <v>46038</v>
      </c>
      <c r="B24" s="15">
        <v>46039.251388888886</v>
      </c>
      <c r="C24" s="16">
        <v>10</v>
      </c>
      <c r="D24" s="16" t="s">
        <v>70</v>
      </c>
      <c r="E24" s="16" t="s">
        <v>11</v>
      </c>
      <c r="F24" s="16" t="s">
        <v>54</v>
      </c>
      <c r="G24" s="16" t="s">
        <v>55</v>
      </c>
      <c r="H24" s="16">
        <v>2</v>
      </c>
      <c r="I24" s="16">
        <v>20</v>
      </c>
      <c r="J24" s="16">
        <v>19.010000000000002</v>
      </c>
      <c r="K24" s="16">
        <v>2</v>
      </c>
      <c r="L24" s="16">
        <v>1.05</v>
      </c>
    </row>
    <row r="25" spans="1:12" ht="15.45" customHeight="1" x14ac:dyDescent="0.3">
      <c r="A25" s="14">
        <v>46038</v>
      </c>
      <c r="B25" s="15">
        <v>46039.248611111114</v>
      </c>
      <c r="C25" s="16">
        <v>37</v>
      </c>
      <c r="D25" s="16" t="s">
        <v>70</v>
      </c>
      <c r="E25" s="16" t="s">
        <v>11</v>
      </c>
      <c r="F25" s="16" t="s">
        <v>52</v>
      </c>
      <c r="G25" s="16" t="s">
        <v>53</v>
      </c>
      <c r="H25" s="16">
        <v>5</v>
      </c>
      <c r="I25" s="16">
        <v>24</v>
      </c>
      <c r="J25" s="16">
        <v>24.8</v>
      </c>
      <c r="K25" s="16">
        <v>2</v>
      </c>
      <c r="L25" s="16">
        <v>2.16</v>
      </c>
    </row>
    <row r="26" spans="1:12" ht="15.45" customHeight="1" x14ac:dyDescent="0.3">
      <c r="A26" s="14">
        <v>46038</v>
      </c>
      <c r="B26" s="15">
        <v>46039.246527777781</v>
      </c>
      <c r="C26" s="16">
        <v>26</v>
      </c>
      <c r="D26" s="16" t="s">
        <v>70</v>
      </c>
      <c r="E26" s="16" t="s">
        <v>11</v>
      </c>
      <c r="F26" s="16" t="s">
        <v>50</v>
      </c>
      <c r="G26" s="16" t="s">
        <v>51</v>
      </c>
      <c r="H26" s="16">
        <v>15</v>
      </c>
      <c r="I26" s="16">
        <v>35</v>
      </c>
      <c r="J26" s="16">
        <v>34.479999999999997</v>
      </c>
      <c r="K26" s="16">
        <v>2</v>
      </c>
      <c r="L26" s="16">
        <v>1.5</v>
      </c>
    </row>
    <row r="27" spans="1:12" ht="15.45" customHeight="1" x14ac:dyDescent="0.3">
      <c r="A27" s="14">
        <v>46038</v>
      </c>
      <c r="B27" s="15">
        <v>46039.244444444441</v>
      </c>
      <c r="C27" s="16">
        <v>36</v>
      </c>
      <c r="D27" s="16" t="s">
        <v>70</v>
      </c>
      <c r="E27" s="16" t="s">
        <v>11</v>
      </c>
      <c r="F27" s="16" t="s">
        <v>72</v>
      </c>
      <c r="G27" s="16" t="s">
        <v>51</v>
      </c>
      <c r="H27" s="16">
        <v>15</v>
      </c>
      <c r="I27" s="16">
        <v>35</v>
      </c>
      <c r="J27" s="16">
        <v>34.97</v>
      </c>
      <c r="K27" s="16">
        <v>2</v>
      </c>
      <c r="L27" s="16">
        <v>1.45</v>
      </c>
    </row>
    <row r="28" spans="1:12" ht="15.45" customHeight="1" x14ac:dyDescent="0.3">
      <c r="A28" s="14">
        <v>46038</v>
      </c>
      <c r="B28" s="15">
        <v>46039.231944444444</v>
      </c>
      <c r="C28" s="16">
        <v>37</v>
      </c>
      <c r="D28" s="16" t="s">
        <v>70</v>
      </c>
      <c r="E28" s="16" t="s">
        <v>11</v>
      </c>
      <c r="F28" s="16" t="s">
        <v>52</v>
      </c>
      <c r="G28" s="16" t="s">
        <v>53</v>
      </c>
      <c r="H28" s="16">
        <v>5</v>
      </c>
      <c r="I28" s="16">
        <v>24</v>
      </c>
      <c r="J28" s="16">
        <v>25.14</v>
      </c>
      <c r="K28" s="16">
        <v>2</v>
      </c>
      <c r="L28" s="16">
        <v>1.81</v>
      </c>
    </row>
    <row r="29" spans="1:12" ht="15.45" customHeight="1" x14ac:dyDescent="0.3">
      <c r="A29" s="14">
        <v>46038</v>
      </c>
      <c r="B29" s="15">
        <v>46039.230555555558</v>
      </c>
      <c r="C29" s="16">
        <v>35</v>
      </c>
      <c r="D29" s="16" t="s">
        <v>70</v>
      </c>
      <c r="E29" s="16" t="s">
        <v>11</v>
      </c>
      <c r="F29" s="16" t="s">
        <v>73</v>
      </c>
      <c r="G29" s="16" t="s">
        <v>63</v>
      </c>
      <c r="H29" s="16">
        <v>14</v>
      </c>
      <c r="I29" s="16">
        <v>12</v>
      </c>
      <c r="J29" s="16">
        <v>11.06</v>
      </c>
      <c r="K29" s="16">
        <v>2</v>
      </c>
      <c r="L29" s="16">
        <v>1.1399999999999999</v>
      </c>
    </row>
    <row r="30" spans="1:12" ht="15.45" customHeight="1" x14ac:dyDescent="0.3">
      <c r="A30" s="14">
        <v>46038</v>
      </c>
      <c r="B30" s="15">
        <v>46039.230555555558</v>
      </c>
      <c r="C30" s="16">
        <v>36</v>
      </c>
      <c r="D30" s="16" t="s">
        <v>70</v>
      </c>
      <c r="E30" s="16" t="s">
        <v>11</v>
      </c>
      <c r="F30" s="16" t="s">
        <v>72</v>
      </c>
      <c r="G30" s="16" t="s">
        <v>51</v>
      </c>
      <c r="H30" s="16">
        <v>15</v>
      </c>
      <c r="I30" s="16">
        <v>35</v>
      </c>
      <c r="J30" s="16">
        <v>30.68</v>
      </c>
      <c r="K30" s="16">
        <v>2</v>
      </c>
      <c r="L30" s="16">
        <v>3.32</v>
      </c>
    </row>
    <row r="31" spans="1:12" ht="15.45" customHeight="1" x14ac:dyDescent="0.3">
      <c r="A31" s="14">
        <v>46038</v>
      </c>
      <c r="B31" s="15">
        <v>46039.227777777778</v>
      </c>
      <c r="C31" s="16">
        <v>38</v>
      </c>
      <c r="D31" s="16" t="s">
        <v>70</v>
      </c>
      <c r="E31" s="16" t="s">
        <v>11</v>
      </c>
      <c r="F31" s="16" t="s">
        <v>76</v>
      </c>
      <c r="G31" s="16" t="s">
        <v>77</v>
      </c>
      <c r="H31" s="16">
        <v>9</v>
      </c>
      <c r="I31" s="16">
        <v>12</v>
      </c>
      <c r="J31" s="16">
        <v>13.29</v>
      </c>
      <c r="K31" s="16">
        <v>2</v>
      </c>
      <c r="L31" s="16">
        <v>1.04</v>
      </c>
    </row>
    <row r="32" spans="1:12" ht="15.45" customHeight="1" x14ac:dyDescent="0.3">
      <c r="A32" s="14">
        <v>46038</v>
      </c>
      <c r="B32" s="15">
        <v>46039.223611111112</v>
      </c>
      <c r="C32" s="16">
        <v>36</v>
      </c>
      <c r="D32" s="16" t="s">
        <v>70</v>
      </c>
      <c r="E32" s="16" t="s">
        <v>11</v>
      </c>
      <c r="F32" s="16" t="s">
        <v>72</v>
      </c>
      <c r="G32" s="16" t="s">
        <v>51</v>
      </c>
      <c r="H32" s="16">
        <v>15</v>
      </c>
      <c r="I32" s="16">
        <v>35</v>
      </c>
      <c r="J32" s="16">
        <v>37.630000000000003</v>
      </c>
      <c r="K32" s="16">
        <v>2</v>
      </c>
      <c r="L32" s="16">
        <v>2.5299999999999998</v>
      </c>
    </row>
    <row r="33" spans="1:12" ht="15.45" customHeight="1" x14ac:dyDescent="0.3">
      <c r="A33" s="14">
        <v>46038</v>
      </c>
      <c r="B33" s="15">
        <v>46039.22152777778</v>
      </c>
      <c r="C33" s="16">
        <v>38</v>
      </c>
      <c r="D33" s="16" t="s">
        <v>70</v>
      </c>
      <c r="E33" s="16" t="s">
        <v>11</v>
      </c>
      <c r="F33" s="16" t="s">
        <v>76</v>
      </c>
      <c r="G33" s="16" t="s">
        <v>77</v>
      </c>
      <c r="H33" s="16">
        <v>9</v>
      </c>
      <c r="I33" s="16">
        <v>12</v>
      </c>
      <c r="J33" s="16">
        <v>13.04</v>
      </c>
      <c r="K33" s="16">
        <v>2</v>
      </c>
      <c r="L33" s="16">
        <v>1.19</v>
      </c>
    </row>
    <row r="34" spans="1:12" ht="15.45" customHeight="1" x14ac:dyDescent="0.3">
      <c r="A34" s="14">
        <v>46038</v>
      </c>
      <c r="B34" s="15">
        <v>46039.219444444447</v>
      </c>
      <c r="C34" s="16">
        <v>9</v>
      </c>
      <c r="D34" s="16" t="s">
        <v>70</v>
      </c>
      <c r="E34" s="16" t="s">
        <v>11</v>
      </c>
      <c r="F34" s="16" t="s">
        <v>50</v>
      </c>
      <c r="G34" s="16" t="s">
        <v>51</v>
      </c>
      <c r="H34" s="16">
        <v>15</v>
      </c>
      <c r="I34" s="16">
        <v>35</v>
      </c>
      <c r="J34" s="16">
        <v>36.36</v>
      </c>
      <c r="K34" s="16">
        <v>2</v>
      </c>
      <c r="L34" s="16">
        <v>1.63</v>
      </c>
    </row>
    <row r="35" spans="1:12" ht="15.45" customHeight="1" x14ac:dyDescent="0.3">
      <c r="A35" s="14">
        <v>46038</v>
      </c>
      <c r="B35" s="15">
        <v>46039.21597222222</v>
      </c>
      <c r="C35" s="16">
        <v>11</v>
      </c>
      <c r="D35" s="16" t="s">
        <v>70</v>
      </c>
      <c r="E35" s="16" t="s">
        <v>11</v>
      </c>
      <c r="F35" s="16" t="s">
        <v>50</v>
      </c>
      <c r="G35" s="16" t="s">
        <v>51</v>
      </c>
      <c r="H35" s="16">
        <v>15</v>
      </c>
      <c r="I35" s="16">
        <v>35</v>
      </c>
      <c r="J35" s="16">
        <v>37.74</v>
      </c>
      <c r="K35" s="16">
        <v>2</v>
      </c>
      <c r="L35" s="16">
        <v>1.35</v>
      </c>
    </row>
    <row r="36" spans="1:12" ht="15.45" customHeight="1" x14ac:dyDescent="0.3">
      <c r="A36" s="14">
        <v>46038</v>
      </c>
      <c r="B36" s="15">
        <v>46039.213888888888</v>
      </c>
      <c r="C36" s="16">
        <v>20</v>
      </c>
      <c r="D36" s="16" t="s">
        <v>70</v>
      </c>
      <c r="E36" s="16" t="s">
        <v>11</v>
      </c>
      <c r="F36" s="16" t="s">
        <v>69</v>
      </c>
      <c r="G36" s="16" t="s">
        <v>51</v>
      </c>
      <c r="H36" s="16">
        <v>15</v>
      </c>
      <c r="I36" s="16">
        <v>35</v>
      </c>
      <c r="J36" s="16">
        <v>33.79</v>
      </c>
      <c r="K36" s="16">
        <v>2</v>
      </c>
      <c r="L36" s="16">
        <v>1.76</v>
      </c>
    </row>
    <row r="37" spans="1:12" ht="15.45" customHeight="1" x14ac:dyDescent="0.3">
      <c r="A37" s="14">
        <v>46038</v>
      </c>
      <c r="B37" s="15">
        <v>46039.211805555555</v>
      </c>
      <c r="C37" s="16">
        <v>10</v>
      </c>
      <c r="D37" s="16" t="s">
        <v>70</v>
      </c>
      <c r="E37" s="16" t="s">
        <v>11</v>
      </c>
      <c r="F37" s="16" t="s">
        <v>54</v>
      </c>
      <c r="G37" s="16" t="s">
        <v>55</v>
      </c>
      <c r="H37" s="16">
        <v>2</v>
      </c>
      <c r="I37" s="16">
        <v>20</v>
      </c>
      <c r="J37" s="16">
        <v>19.63</v>
      </c>
      <c r="K37" s="16">
        <v>2</v>
      </c>
      <c r="L37" s="16">
        <v>1.56</v>
      </c>
    </row>
    <row r="38" spans="1:12" ht="15.45" customHeight="1" x14ac:dyDescent="0.3">
      <c r="A38" s="14">
        <v>46038</v>
      </c>
      <c r="B38" s="15">
        <v>46039.207638888889</v>
      </c>
      <c r="C38" s="16">
        <v>10</v>
      </c>
      <c r="D38" s="16" t="s">
        <v>70</v>
      </c>
      <c r="E38" s="16" t="s">
        <v>11</v>
      </c>
      <c r="F38" s="16" t="s">
        <v>54</v>
      </c>
      <c r="G38" s="16" t="s">
        <v>55</v>
      </c>
      <c r="H38" s="16">
        <v>2</v>
      </c>
      <c r="I38" s="16">
        <v>20</v>
      </c>
      <c r="J38" s="16">
        <v>19.14</v>
      </c>
      <c r="K38" s="16">
        <v>2</v>
      </c>
      <c r="L38" s="16">
        <v>1.1100000000000001</v>
      </c>
    </row>
    <row r="39" spans="1:12" ht="15.45" customHeight="1" x14ac:dyDescent="0.3">
      <c r="A39" s="14">
        <v>46038</v>
      </c>
      <c r="B39" s="15">
        <v>46039.203472222223</v>
      </c>
      <c r="C39" s="16">
        <v>37</v>
      </c>
      <c r="D39" s="16" t="s">
        <v>70</v>
      </c>
      <c r="E39" s="16" t="s">
        <v>11</v>
      </c>
      <c r="F39" s="16" t="s">
        <v>52</v>
      </c>
      <c r="G39" s="16" t="s">
        <v>53</v>
      </c>
      <c r="H39" s="16">
        <v>5</v>
      </c>
      <c r="I39" s="16">
        <v>24</v>
      </c>
      <c r="J39" s="16">
        <v>23.85</v>
      </c>
      <c r="K39" s="16">
        <v>2</v>
      </c>
      <c r="L39" s="16">
        <v>0.9</v>
      </c>
    </row>
    <row r="40" spans="1:12" ht="15.45" customHeight="1" x14ac:dyDescent="0.3">
      <c r="A40" s="14">
        <v>46038</v>
      </c>
      <c r="B40" s="15">
        <v>46039.197222222225</v>
      </c>
      <c r="C40" s="16">
        <v>37</v>
      </c>
      <c r="D40" s="16" t="s">
        <v>70</v>
      </c>
      <c r="E40" s="16" t="s">
        <v>11</v>
      </c>
      <c r="F40" s="16" t="s">
        <v>52</v>
      </c>
      <c r="G40" s="16" t="s">
        <v>53</v>
      </c>
      <c r="H40" s="16">
        <v>5</v>
      </c>
      <c r="I40" s="16">
        <v>24</v>
      </c>
      <c r="J40" s="16">
        <v>25.73</v>
      </c>
      <c r="K40" s="16">
        <v>2</v>
      </c>
      <c r="L40" s="16">
        <v>1.65</v>
      </c>
    </row>
    <row r="41" spans="1:12" ht="15.45" customHeight="1" x14ac:dyDescent="0.3">
      <c r="A41" s="14">
        <v>46038</v>
      </c>
      <c r="B41" s="15">
        <v>46039.193749999999</v>
      </c>
      <c r="C41" s="16">
        <v>35</v>
      </c>
      <c r="D41" s="16" t="s">
        <v>70</v>
      </c>
      <c r="E41" s="16" t="s">
        <v>11</v>
      </c>
      <c r="F41" s="16" t="s">
        <v>73</v>
      </c>
      <c r="G41" s="16" t="s">
        <v>63</v>
      </c>
      <c r="H41" s="16">
        <v>14</v>
      </c>
      <c r="I41" s="16">
        <v>12</v>
      </c>
      <c r="J41" s="16">
        <v>11.8</v>
      </c>
      <c r="K41" s="16">
        <v>2</v>
      </c>
      <c r="L41" s="16">
        <v>1.27</v>
      </c>
    </row>
    <row r="42" spans="1:12" ht="15.45" customHeight="1" x14ac:dyDescent="0.3">
      <c r="A42" s="14">
        <v>46038</v>
      </c>
      <c r="B42" s="15">
        <v>46039.19027777778</v>
      </c>
      <c r="C42" s="16">
        <v>36</v>
      </c>
      <c r="D42" s="16" t="s">
        <v>70</v>
      </c>
      <c r="E42" s="16" t="s">
        <v>11</v>
      </c>
      <c r="F42" s="16" t="s">
        <v>72</v>
      </c>
      <c r="G42" s="16" t="s">
        <v>51</v>
      </c>
      <c r="H42" s="16">
        <v>15</v>
      </c>
      <c r="I42" s="16">
        <v>35</v>
      </c>
      <c r="J42" s="16">
        <v>36.28</v>
      </c>
      <c r="K42" s="16">
        <v>2</v>
      </c>
      <c r="L42" s="16">
        <v>2.23</v>
      </c>
    </row>
    <row r="43" spans="1:12" ht="15.45" customHeight="1" x14ac:dyDescent="0.3">
      <c r="A43" s="14">
        <v>46038</v>
      </c>
      <c r="B43" s="15">
        <v>46039.182638888888</v>
      </c>
      <c r="C43" s="16">
        <v>9</v>
      </c>
      <c r="D43" s="16" t="s">
        <v>70</v>
      </c>
      <c r="E43" s="16" t="s">
        <v>11</v>
      </c>
      <c r="F43" s="16" t="s">
        <v>50</v>
      </c>
      <c r="G43" s="16" t="s">
        <v>51</v>
      </c>
      <c r="H43" s="16">
        <v>15</v>
      </c>
      <c r="I43" s="16">
        <v>35</v>
      </c>
      <c r="J43" s="16">
        <v>33.53</v>
      </c>
      <c r="K43" s="16">
        <v>2</v>
      </c>
      <c r="L43" s="16">
        <v>1.87</v>
      </c>
    </row>
    <row r="44" spans="1:12" ht="15.45" customHeight="1" x14ac:dyDescent="0.3">
      <c r="A44" s="14">
        <v>46038</v>
      </c>
      <c r="B44" s="15">
        <v>46039.181250000001</v>
      </c>
      <c r="C44" s="16">
        <v>9</v>
      </c>
      <c r="D44" s="16" t="s">
        <v>70</v>
      </c>
      <c r="E44" s="16" t="s">
        <v>11</v>
      </c>
      <c r="F44" s="16" t="s">
        <v>50</v>
      </c>
      <c r="G44" s="16" t="s">
        <v>51</v>
      </c>
      <c r="H44" s="16">
        <v>15</v>
      </c>
      <c r="I44" s="16">
        <v>35</v>
      </c>
      <c r="J44" s="16">
        <v>34.24</v>
      </c>
      <c r="K44" s="16">
        <v>2</v>
      </c>
      <c r="L44" s="16">
        <v>2.5099999999999998</v>
      </c>
    </row>
    <row r="45" spans="1:12" ht="15.45" customHeight="1" x14ac:dyDescent="0.3">
      <c r="A45" s="14">
        <v>46038</v>
      </c>
      <c r="B45" s="15">
        <v>46039.179861111108</v>
      </c>
      <c r="C45" s="16">
        <v>36</v>
      </c>
      <c r="D45" s="16" t="s">
        <v>70</v>
      </c>
      <c r="E45" s="16" t="s">
        <v>11</v>
      </c>
      <c r="F45" s="16" t="s">
        <v>72</v>
      </c>
      <c r="G45" s="16" t="s">
        <v>51</v>
      </c>
      <c r="H45" s="16">
        <v>15</v>
      </c>
      <c r="I45" s="16">
        <v>35</v>
      </c>
      <c r="J45" s="16">
        <v>36.71</v>
      </c>
      <c r="K45" s="16">
        <v>2</v>
      </c>
      <c r="L45" s="16">
        <v>2.1800000000000002</v>
      </c>
    </row>
    <row r="46" spans="1:12" ht="15.45" customHeight="1" x14ac:dyDescent="0.3">
      <c r="A46" s="14">
        <v>46038</v>
      </c>
      <c r="B46" s="15">
        <v>46039.177083333336</v>
      </c>
      <c r="C46" s="16">
        <v>20</v>
      </c>
      <c r="D46" s="16" t="s">
        <v>70</v>
      </c>
      <c r="E46" s="16" t="s">
        <v>11</v>
      </c>
      <c r="F46" s="16" t="s">
        <v>69</v>
      </c>
      <c r="G46" s="16" t="s">
        <v>51</v>
      </c>
      <c r="H46" s="16">
        <v>15</v>
      </c>
      <c r="I46" s="16">
        <v>35</v>
      </c>
      <c r="J46" s="16">
        <v>35.79</v>
      </c>
      <c r="K46" s="16">
        <v>2</v>
      </c>
      <c r="L46" s="16">
        <v>1.7</v>
      </c>
    </row>
    <row r="47" spans="1:12" ht="15.45" customHeight="1" x14ac:dyDescent="0.3">
      <c r="A47" s="14">
        <v>46038</v>
      </c>
      <c r="B47" s="15">
        <v>46039.175694444442</v>
      </c>
      <c r="C47" s="16">
        <v>20</v>
      </c>
      <c r="D47" s="16" t="s">
        <v>70</v>
      </c>
      <c r="E47" s="16" t="s">
        <v>11</v>
      </c>
      <c r="F47" s="16" t="s">
        <v>69</v>
      </c>
      <c r="G47" s="16" t="s">
        <v>51</v>
      </c>
      <c r="H47" s="16">
        <v>15</v>
      </c>
      <c r="I47" s="16">
        <v>35</v>
      </c>
      <c r="J47" s="16">
        <v>35.65</v>
      </c>
      <c r="K47" s="16">
        <v>2</v>
      </c>
      <c r="L47" s="16">
        <v>1.17</v>
      </c>
    </row>
    <row r="48" spans="1:12" ht="15.45" customHeight="1" x14ac:dyDescent="0.3">
      <c r="A48" s="14">
        <v>46038</v>
      </c>
      <c r="B48" s="15">
        <v>46039.175694444442</v>
      </c>
      <c r="C48" s="16">
        <v>9</v>
      </c>
      <c r="D48" s="16" t="s">
        <v>70</v>
      </c>
      <c r="E48" s="16" t="s">
        <v>11</v>
      </c>
      <c r="F48" s="16" t="s">
        <v>50</v>
      </c>
      <c r="G48" s="16" t="s">
        <v>51</v>
      </c>
      <c r="H48" s="16">
        <v>15</v>
      </c>
      <c r="I48" s="16">
        <v>35</v>
      </c>
      <c r="J48" s="16">
        <v>36.17</v>
      </c>
      <c r="K48" s="16">
        <v>2</v>
      </c>
      <c r="L48" s="16">
        <v>1.2</v>
      </c>
    </row>
    <row r="49" spans="1:12" ht="15.45" customHeight="1" x14ac:dyDescent="0.3">
      <c r="A49" s="14">
        <v>46038</v>
      </c>
      <c r="B49" s="15">
        <v>46039.174305555556</v>
      </c>
      <c r="C49" s="16">
        <v>9</v>
      </c>
      <c r="D49" s="16" t="s">
        <v>70</v>
      </c>
      <c r="E49" s="16" t="s">
        <v>11</v>
      </c>
      <c r="F49" s="16" t="s">
        <v>50</v>
      </c>
      <c r="G49" s="16" t="s">
        <v>51</v>
      </c>
      <c r="H49" s="16">
        <v>15</v>
      </c>
      <c r="I49" s="16">
        <v>35</v>
      </c>
      <c r="J49" s="16">
        <v>38.49</v>
      </c>
      <c r="K49" s="16">
        <v>2</v>
      </c>
      <c r="L49" s="16">
        <v>4.8899999999999997</v>
      </c>
    </row>
    <row r="50" spans="1:12" ht="15.45" customHeight="1" x14ac:dyDescent="0.3">
      <c r="A50" s="14">
        <v>46038</v>
      </c>
      <c r="B50" s="15">
        <v>46039.173611111109</v>
      </c>
      <c r="C50" s="16">
        <v>36</v>
      </c>
      <c r="D50" s="16" t="s">
        <v>70</v>
      </c>
      <c r="E50" s="16" t="s">
        <v>11</v>
      </c>
      <c r="F50" s="16" t="s">
        <v>72</v>
      </c>
      <c r="G50" s="16" t="s">
        <v>51</v>
      </c>
      <c r="H50" s="16">
        <v>15</v>
      </c>
      <c r="I50" s="16">
        <v>35</v>
      </c>
      <c r="J50" s="16">
        <v>37.090000000000003</v>
      </c>
      <c r="K50" s="16">
        <v>2</v>
      </c>
      <c r="L50" s="16">
        <v>2.58</v>
      </c>
    </row>
    <row r="51" spans="1:12" ht="15.45" customHeight="1" x14ac:dyDescent="0.3">
      <c r="A51" s="14">
        <v>46038</v>
      </c>
      <c r="B51" s="15">
        <v>46039.171527777777</v>
      </c>
      <c r="C51" s="16">
        <v>38</v>
      </c>
      <c r="D51" s="16" t="s">
        <v>70</v>
      </c>
      <c r="E51" s="16" t="s">
        <v>11</v>
      </c>
      <c r="F51" s="16" t="s">
        <v>76</v>
      </c>
      <c r="G51" s="16" t="s">
        <v>77</v>
      </c>
      <c r="H51" s="16">
        <v>9</v>
      </c>
      <c r="I51" s="16">
        <v>12</v>
      </c>
      <c r="J51" s="16">
        <v>13.04</v>
      </c>
      <c r="K51" s="16">
        <v>2</v>
      </c>
      <c r="L51" s="16">
        <v>1.55</v>
      </c>
    </row>
    <row r="52" spans="1:12" ht="15.45" customHeight="1" x14ac:dyDescent="0.3">
      <c r="A52" s="14">
        <v>46038</v>
      </c>
      <c r="B52" s="15">
        <v>46039.170138888891</v>
      </c>
      <c r="C52" s="16">
        <v>26</v>
      </c>
      <c r="D52" s="16" t="s">
        <v>70</v>
      </c>
      <c r="E52" s="16" t="s">
        <v>11</v>
      </c>
      <c r="F52" s="16" t="s">
        <v>50</v>
      </c>
      <c r="G52" s="16" t="s">
        <v>51</v>
      </c>
      <c r="H52" s="16">
        <v>15</v>
      </c>
      <c r="I52" s="16">
        <v>35</v>
      </c>
      <c r="J52" s="16">
        <v>34.450000000000003</v>
      </c>
      <c r="K52" s="16">
        <v>2</v>
      </c>
      <c r="L52" s="16">
        <v>2.04</v>
      </c>
    </row>
    <row r="53" spans="1:12" ht="15.45" customHeight="1" x14ac:dyDescent="0.3">
      <c r="A53" s="14">
        <v>46038</v>
      </c>
      <c r="B53" s="15">
        <v>46039.170138888891</v>
      </c>
      <c r="C53" s="16">
        <v>38</v>
      </c>
      <c r="D53" s="16" t="s">
        <v>70</v>
      </c>
      <c r="E53" s="16" t="s">
        <v>11</v>
      </c>
      <c r="F53" s="16" t="s">
        <v>76</v>
      </c>
      <c r="G53" s="16" t="s">
        <v>77</v>
      </c>
      <c r="H53" s="16">
        <v>9</v>
      </c>
      <c r="I53" s="16">
        <v>12</v>
      </c>
      <c r="J53" s="16">
        <v>13.04</v>
      </c>
      <c r="K53" s="16">
        <v>2</v>
      </c>
      <c r="L53" s="16">
        <v>1.27</v>
      </c>
    </row>
    <row r="54" spans="1:12" ht="15.45" customHeight="1" x14ac:dyDescent="0.3">
      <c r="A54" s="14">
        <v>46038</v>
      </c>
      <c r="B54" s="15">
        <v>46039.168055555558</v>
      </c>
      <c r="C54" s="16">
        <v>10</v>
      </c>
      <c r="D54" s="16" t="s">
        <v>70</v>
      </c>
      <c r="E54" s="16" t="s">
        <v>11</v>
      </c>
      <c r="F54" s="16" t="s">
        <v>54</v>
      </c>
      <c r="G54" s="16" t="s">
        <v>55</v>
      </c>
      <c r="H54" s="16">
        <v>2</v>
      </c>
      <c r="I54" s="16">
        <v>20</v>
      </c>
      <c r="J54" s="16">
        <v>19.72</v>
      </c>
      <c r="K54" s="16">
        <v>2</v>
      </c>
      <c r="L54" s="16">
        <v>1.1599999999999999</v>
      </c>
    </row>
    <row r="55" spans="1:12" ht="15.45" customHeight="1" x14ac:dyDescent="0.3">
      <c r="A55" s="14">
        <v>46038</v>
      </c>
      <c r="B55" s="15">
        <v>46039.165972222225</v>
      </c>
      <c r="C55" s="16">
        <v>38</v>
      </c>
      <c r="D55" s="16" t="s">
        <v>70</v>
      </c>
      <c r="E55" s="16" t="s">
        <v>11</v>
      </c>
      <c r="F55" s="16" t="s">
        <v>76</v>
      </c>
      <c r="G55" s="16" t="s">
        <v>77</v>
      </c>
      <c r="H55" s="16">
        <v>9</v>
      </c>
      <c r="I55" s="16">
        <v>12</v>
      </c>
      <c r="J55" s="16">
        <v>12.7</v>
      </c>
      <c r="K55" s="16">
        <v>2</v>
      </c>
      <c r="L55" s="16">
        <v>1.2</v>
      </c>
    </row>
    <row r="56" spans="1:12" ht="15.45" customHeight="1" x14ac:dyDescent="0.3">
      <c r="A56" s="14">
        <v>46038</v>
      </c>
      <c r="B56" s="15">
        <v>46039.162499999999</v>
      </c>
      <c r="C56" s="16">
        <v>38</v>
      </c>
      <c r="D56" s="16" t="s">
        <v>70</v>
      </c>
      <c r="E56" s="16" t="s">
        <v>11</v>
      </c>
      <c r="F56" s="16" t="s">
        <v>76</v>
      </c>
      <c r="G56" s="16" t="s">
        <v>77</v>
      </c>
      <c r="H56" s="16">
        <v>9</v>
      </c>
      <c r="I56" s="16">
        <v>12</v>
      </c>
      <c r="J56" s="16">
        <v>13.72</v>
      </c>
      <c r="K56" s="16">
        <v>2</v>
      </c>
      <c r="L56" s="16">
        <v>1.28</v>
      </c>
    </row>
    <row r="57" spans="1:12" ht="15.45" customHeight="1" x14ac:dyDescent="0.3">
      <c r="A57" s="14">
        <v>46038</v>
      </c>
      <c r="B57" s="15">
        <v>46039.158333333333</v>
      </c>
      <c r="C57" s="16">
        <v>26</v>
      </c>
      <c r="D57" s="16" t="s">
        <v>70</v>
      </c>
      <c r="E57" s="16" t="s">
        <v>11</v>
      </c>
      <c r="F57" s="16" t="s">
        <v>50</v>
      </c>
      <c r="G57" s="16" t="s">
        <v>51</v>
      </c>
      <c r="H57" s="16">
        <v>15</v>
      </c>
      <c r="I57" s="16">
        <v>35</v>
      </c>
      <c r="J57" s="16">
        <v>36.24</v>
      </c>
      <c r="K57" s="16">
        <v>2</v>
      </c>
      <c r="L57" s="16">
        <v>1.84</v>
      </c>
    </row>
    <row r="58" spans="1:12" ht="15.45" customHeight="1" x14ac:dyDescent="0.3">
      <c r="A58" s="14">
        <v>46038</v>
      </c>
      <c r="B58" s="15">
        <v>46039.149305555555</v>
      </c>
      <c r="C58" s="16">
        <v>26</v>
      </c>
      <c r="D58" s="16" t="s">
        <v>70</v>
      </c>
      <c r="E58" s="16" t="s">
        <v>11</v>
      </c>
      <c r="F58" s="16" t="s">
        <v>50</v>
      </c>
      <c r="G58" s="16" t="s">
        <v>51</v>
      </c>
      <c r="H58" s="16">
        <v>15</v>
      </c>
      <c r="I58" s="16">
        <v>35</v>
      </c>
      <c r="J58" s="16">
        <v>35.11</v>
      </c>
      <c r="K58" s="16">
        <v>2</v>
      </c>
      <c r="L58" s="16">
        <v>1.78</v>
      </c>
    </row>
    <row r="59" spans="1:12" ht="15.45" customHeight="1" x14ac:dyDescent="0.3">
      <c r="A59" s="14">
        <v>46038</v>
      </c>
      <c r="B59" s="15">
        <v>46039.145138888889</v>
      </c>
      <c r="C59" s="16">
        <v>37</v>
      </c>
      <c r="D59" s="16" t="s">
        <v>70</v>
      </c>
      <c r="E59" s="16" t="s">
        <v>11</v>
      </c>
      <c r="F59" s="16" t="s">
        <v>52</v>
      </c>
      <c r="G59" s="16" t="s">
        <v>53</v>
      </c>
      <c r="H59" s="16">
        <v>5</v>
      </c>
      <c r="I59" s="16">
        <v>24</v>
      </c>
      <c r="J59" s="16">
        <v>24.93</v>
      </c>
      <c r="K59" s="16">
        <v>2</v>
      </c>
      <c r="L59" s="16">
        <v>1.55</v>
      </c>
    </row>
    <row r="60" spans="1:12" ht="15.45" customHeight="1" x14ac:dyDescent="0.3">
      <c r="A60" s="14">
        <v>46038</v>
      </c>
      <c r="B60" s="15">
        <v>46039.136111111111</v>
      </c>
      <c r="C60" s="16">
        <v>11</v>
      </c>
      <c r="D60" s="16" t="s">
        <v>70</v>
      </c>
      <c r="E60" s="16" t="s">
        <v>11</v>
      </c>
      <c r="F60" s="16" t="s">
        <v>50</v>
      </c>
      <c r="G60" s="16" t="s">
        <v>51</v>
      </c>
      <c r="H60" s="16">
        <v>15</v>
      </c>
      <c r="I60" s="16">
        <v>35</v>
      </c>
      <c r="J60" s="16">
        <v>35.06</v>
      </c>
      <c r="K60" s="16">
        <v>2</v>
      </c>
      <c r="L60" s="16">
        <v>1.79</v>
      </c>
    </row>
    <row r="61" spans="1:12" ht="15.45" customHeight="1" x14ac:dyDescent="0.3">
      <c r="A61" s="14">
        <v>46038</v>
      </c>
      <c r="B61" s="15">
        <v>46039.136111111111</v>
      </c>
      <c r="C61" s="16">
        <v>35</v>
      </c>
      <c r="D61" s="16" t="s">
        <v>70</v>
      </c>
      <c r="E61" s="16" t="s">
        <v>11</v>
      </c>
      <c r="F61" s="16" t="s">
        <v>73</v>
      </c>
      <c r="G61" s="16" t="s">
        <v>63</v>
      </c>
      <c r="H61" s="16">
        <v>14</v>
      </c>
      <c r="I61" s="16">
        <v>12</v>
      </c>
      <c r="J61" s="16">
        <v>11.85</v>
      </c>
      <c r="K61" s="16">
        <v>2</v>
      </c>
      <c r="L61" s="16">
        <v>1.08</v>
      </c>
    </row>
    <row r="62" spans="1:12" ht="15.45" customHeight="1" x14ac:dyDescent="0.3">
      <c r="A62" s="14">
        <v>46038</v>
      </c>
      <c r="B62" s="15">
        <v>46039.132638888892</v>
      </c>
      <c r="C62" s="16">
        <v>36</v>
      </c>
      <c r="D62" s="16" t="s">
        <v>70</v>
      </c>
      <c r="E62" s="16" t="s">
        <v>11</v>
      </c>
      <c r="F62" s="16" t="s">
        <v>72</v>
      </c>
      <c r="G62" s="16" t="s">
        <v>51</v>
      </c>
      <c r="H62" s="16">
        <v>15</v>
      </c>
      <c r="I62" s="16">
        <v>35</v>
      </c>
      <c r="J62" s="16">
        <v>32.21</v>
      </c>
      <c r="K62" s="16">
        <v>2</v>
      </c>
      <c r="L62" s="16">
        <v>1.05</v>
      </c>
    </row>
    <row r="63" spans="1:12" ht="15.45" customHeight="1" x14ac:dyDescent="0.3">
      <c r="A63" s="14">
        <v>46038</v>
      </c>
      <c r="B63" s="15">
        <v>46039.129861111112</v>
      </c>
      <c r="C63" s="16">
        <v>10</v>
      </c>
      <c r="D63" s="16" t="s">
        <v>70</v>
      </c>
      <c r="E63" s="16" t="s">
        <v>11</v>
      </c>
      <c r="F63" s="16" t="s">
        <v>54</v>
      </c>
      <c r="G63" s="16" t="s">
        <v>55</v>
      </c>
      <c r="H63" s="16">
        <v>2</v>
      </c>
      <c r="I63" s="16">
        <v>20</v>
      </c>
      <c r="J63" s="16">
        <v>19.48</v>
      </c>
      <c r="K63" s="16">
        <v>2</v>
      </c>
      <c r="L63" s="16">
        <v>0.8</v>
      </c>
    </row>
    <row r="64" spans="1:12" ht="15.45" customHeight="1" x14ac:dyDescent="0.3">
      <c r="A64" s="14">
        <v>46038</v>
      </c>
      <c r="B64" s="15">
        <v>46039.128472222219</v>
      </c>
      <c r="C64" s="16">
        <v>36</v>
      </c>
      <c r="D64" s="16" t="s">
        <v>70</v>
      </c>
      <c r="E64" s="16" t="s">
        <v>11</v>
      </c>
      <c r="F64" s="16" t="s">
        <v>72</v>
      </c>
      <c r="G64" s="16" t="s">
        <v>51</v>
      </c>
      <c r="H64" s="16">
        <v>15</v>
      </c>
      <c r="I64" s="16">
        <v>35</v>
      </c>
      <c r="J64" s="16">
        <v>33.78</v>
      </c>
      <c r="K64" s="16">
        <v>2</v>
      </c>
      <c r="L64" s="16">
        <v>1.17</v>
      </c>
    </row>
    <row r="65" spans="1:12" ht="15.45" customHeight="1" x14ac:dyDescent="0.3">
      <c r="A65" s="14">
        <v>46038</v>
      </c>
      <c r="B65" s="15">
        <v>46039.127083333333</v>
      </c>
      <c r="C65" s="16">
        <v>20</v>
      </c>
      <c r="D65" s="16" t="s">
        <v>70</v>
      </c>
      <c r="E65" s="16" t="s">
        <v>11</v>
      </c>
      <c r="F65" s="16" t="s">
        <v>69</v>
      </c>
      <c r="G65" s="16" t="s">
        <v>51</v>
      </c>
      <c r="H65" s="16">
        <v>15</v>
      </c>
      <c r="I65" s="16">
        <v>35</v>
      </c>
      <c r="J65" s="16">
        <v>34.76</v>
      </c>
      <c r="K65" s="16">
        <v>2</v>
      </c>
      <c r="L65" s="16">
        <v>1.39</v>
      </c>
    </row>
    <row r="66" spans="1:12" ht="15.45" customHeight="1" x14ac:dyDescent="0.3">
      <c r="A66" s="14">
        <v>46038</v>
      </c>
      <c r="B66" s="15">
        <v>46039.122916666667</v>
      </c>
      <c r="C66" s="16">
        <v>36</v>
      </c>
      <c r="D66" s="16" t="s">
        <v>70</v>
      </c>
      <c r="E66" s="16" t="s">
        <v>11</v>
      </c>
      <c r="F66" s="16" t="s">
        <v>72</v>
      </c>
      <c r="G66" s="16" t="s">
        <v>51</v>
      </c>
      <c r="H66" s="16">
        <v>15</v>
      </c>
      <c r="I66" s="16">
        <v>35</v>
      </c>
      <c r="J66" s="16">
        <v>35.880000000000003</v>
      </c>
      <c r="K66" s="16">
        <v>2</v>
      </c>
      <c r="L66" s="16">
        <v>2.11</v>
      </c>
    </row>
    <row r="67" spans="1:12" ht="15.45" customHeight="1" x14ac:dyDescent="0.3">
      <c r="A67" s="14">
        <v>46038</v>
      </c>
      <c r="B67" s="15">
        <v>46039.116666666669</v>
      </c>
      <c r="C67" s="16">
        <v>36</v>
      </c>
      <c r="D67" s="16" t="s">
        <v>70</v>
      </c>
      <c r="E67" s="16" t="s">
        <v>11</v>
      </c>
      <c r="F67" s="16" t="s">
        <v>72</v>
      </c>
      <c r="G67" s="16" t="s">
        <v>51</v>
      </c>
      <c r="H67" s="16">
        <v>15</v>
      </c>
      <c r="I67" s="16">
        <v>35</v>
      </c>
      <c r="J67" s="16">
        <v>28.88</v>
      </c>
      <c r="K67" s="16">
        <v>2</v>
      </c>
      <c r="L67" s="16">
        <v>2.13</v>
      </c>
    </row>
    <row r="68" spans="1:12" ht="15.45" customHeight="1" x14ac:dyDescent="0.3">
      <c r="A68" s="14">
        <v>46038</v>
      </c>
      <c r="B68" s="15">
        <v>46039.113194444442</v>
      </c>
      <c r="C68" s="16">
        <v>35</v>
      </c>
      <c r="D68" s="16" t="s">
        <v>70</v>
      </c>
      <c r="E68" s="16" t="s">
        <v>11</v>
      </c>
      <c r="F68" s="16" t="s">
        <v>73</v>
      </c>
      <c r="G68" s="16" t="s">
        <v>63</v>
      </c>
      <c r="H68" s="16">
        <v>14</v>
      </c>
      <c r="I68" s="16">
        <v>12</v>
      </c>
      <c r="J68" s="16">
        <v>11.13</v>
      </c>
      <c r="K68" s="16">
        <v>2</v>
      </c>
      <c r="L68" s="16">
        <v>1.1499999999999999</v>
      </c>
    </row>
    <row r="69" spans="1:12" ht="15.45" customHeight="1" x14ac:dyDescent="0.3">
      <c r="A69" s="14">
        <v>46038</v>
      </c>
      <c r="B69" s="15">
        <v>46039.109722222223</v>
      </c>
      <c r="C69" s="16">
        <v>35</v>
      </c>
      <c r="D69" s="16" t="s">
        <v>70</v>
      </c>
      <c r="E69" s="16" t="s">
        <v>11</v>
      </c>
      <c r="F69" s="16" t="s">
        <v>73</v>
      </c>
      <c r="G69" s="16" t="s">
        <v>63</v>
      </c>
      <c r="H69" s="16">
        <v>14</v>
      </c>
      <c r="I69" s="16">
        <v>12</v>
      </c>
      <c r="J69" s="16">
        <v>12.31</v>
      </c>
      <c r="K69" s="16">
        <v>2</v>
      </c>
      <c r="L69" s="16">
        <v>0.85</v>
      </c>
    </row>
    <row r="70" spans="1:12" ht="15.45" customHeight="1" x14ac:dyDescent="0.3">
      <c r="A70" s="14">
        <v>46038</v>
      </c>
      <c r="B70" s="15">
        <v>46039.106944444444</v>
      </c>
      <c r="C70" s="16">
        <v>37</v>
      </c>
      <c r="D70" s="16" t="s">
        <v>70</v>
      </c>
      <c r="E70" s="16" t="s">
        <v>11</v>
      </c>
      <c r="F70" s="16" t="s">
        <v>52</v>
      </c>
      <c r="G70" s="16" t="s">
        <v>53</v>
      </c>
      <c r="H70" s="16">
        <v>5</v>
      </c>
      <c r="I70" s="16">
        <v>24</v>
      </c>
      <c r="J70" s="16">
        <v>25.03</v>
      </c>
      <c r="K70" s="16">
        <v>2</v>
      </c>
      <c r="L70" s="16">
        <v>1.87</v>
      </c>
    </row>
    <row r="71" spans="1:12" ht="15.45" customHeight="1" x14ac:dyDescent="0.3">
      <c r="A71" s="14">
        <v>46038</v>
      </c>
      <c r="B71" s="15">
        <v>46039.097222222219</v>
      </c>
      <c r="C71" s="16">
        <v>37</v>
      </c>
      <c r="D71" s="16" t="s">
        <v>70</v>
      </c>
      <c r="E71" s="16" t="s">
        <v>11</v>
      </c>
      <c r="F71" s="16" t="s">
        <v>52</v>
      </c>
      <c r="G71" s="16" t="s">
        <v>53</v>
      </c>
      <c r="H71" s="16">
        <v>5</v>
      </c>
      <c r="I71" s="16">
        <v>24</v>
      </c>
      <c r="J71" s="16">
        <v>25.82</v>
      </c>
      <c r="K71" s="16">
        <v>2</v>
      </c>
      <c r="L71" s="16">
        <v>1.95</v>
      </c>
    </row>
    <row r="72" spans="1:12" ht="15.45" customHeight="1" x14ac:dyDescent="0.3">
      <c r="A72" s="14">
        <v>46038</v>
      </c>
      <c r="B72" s="15">
        <v>46039.092361111114</v>
      </c>
      <c r="C72" s="16">
        <v>11</v>
      </c>
      <c r="D72" s="16" t="s">
        <v>70</v>
      </c>
      <c r="E72" s="16" t="s">
        <v>11</v>
      </c>
      <c r="F72" s="16" t="s">
        <v>50</v>
      </c>
      <c r="G72" s="16" t="s">
        <v>51</v>
      </c>
      <c r="H72" s="16">
        <v>15</v>
      </c>
      <c r="I72" s="16">
        <v>35</v>
      </c>
      <c r="J72" s="16">
        <v>37.729999999999997</v>
      </c>
      <c r="K72" s="16">
        <v>2</v>
      </c>
      <c r="L72" s="16">
        <v>1.95</v>
      </c>
    </row>
    <row r="73" spans="1:12" ht="15.45" customHeight="1" x14ac:dyDescent="0.3">
      <c r="A73" s="14">
        <v>46038</v>
      </c>
      <c r="B73" s="15">
        <v>46039.091666666667</v>
      </c>
      <c r="C73" s="16">
        <v>36</v>
      </c>
      <c r="D73" s="16" t="s">
        <v>70</v>
      </c>
      <c r="E73" s="16" t="s">
        <v>11</v>
      </c>
      <c r="F73" s="16" t="s">
        <v>72</v>
      </c>
      <c r="G73" s="16" t="s">
        <v>51</v>
      </c>
      <c r="H73" s="16">
        <v>270</v>
      </c>
      <c r="I73" s="16">
        <v>35</v>
      </c>
      <c r="J73" s="16">
        <v>35.58</v>
      </c>
      <c r="K73" s="16">
        <v>2</v>
      </c>
      <c r="L73" s="16">
        <v>1.71</v>
      </c>
    </row>
    <row r="74" spans="1:12" ht="15.45" customHeight="1" x14ac:dyDescent="0.3">
      <c r="A74" s="14">
        <v>46038</v>
      </c>
      <c r="B74" s="15">
        <v>46039.090277777781</v>
      </c>
      <c r="C74" s="16">
        <v>26</v>
      </c>
      <c r="D74" s="16" t="s">
        <v>70</v>
      </c>
      <c r="E74" s="16" t="s">
        <v>11</v>
      </c>
      <c r="F74" s="16" t="s">
        <v>50</v>
      </c>
      <c r="G74" s="16" t="s">
        <v>51</v>
      </c>
      <c r="H74" s="16">
        <v>15</v>
      </c>
      <c r="I74" s="16">
        <v>35</v>
      </c>
      <c r="J74" s="16">
        <v>35.83</v>
      </c>
      <c r="K74" s="16">
        <v>2</v>
      </c>
      <c r="L74" s="16">
        <v>1.72</v>
      </c>
    </row>
    <row r="75" spans="1:12" ht="15.45" customHeight="1" x14ac:dyDescent="0.3">
      <c r="A75" s="14">
        <v>46038</v>
      </c>
      <c r="B75" s="15">
        <v>46039.086805555555</v>
      </c>
      <c r="C75" s="16">
        <v>38</v>
      </c>
      <c r="D75" s="16" t="s">
        <v>70</v>
      </c>
      <c r="E75" s="16" t="s">
        <v>11</v>
      </c>
      <c r="F75" s="16" t="s">
        <v>52</v>
      </c>
      <c r="G75" s="16" t="s">
        <v>53</v>
      </c>
      <c r="H75" s="16">
        <v>5</v>
      </c>
      <c r="I75" s="16">
        <v>24</v>
      </c>
      <c r="J75" s="16">
        <v>24.43</v>
      </c>
      <c r="K75" s="16">
        <v>2</v>
      </c>
      <c r="L75" s="16">
        <v>1.81</v>
      </c>
    </row>
    <row r="76" spans="1:12" ht="15.45" customHeight="1" x14ac:dyDescent="0.3">
      <c r="A76" s="14">
        <v>46038</v>
      </c>
      <c r="B76" s="15">
        <v>46039.086805555555</v>
      </c>
      <c r="C76" s="16">
        <v>10</v>
      </c>
      <c r="D76" s="16" t="s">
        <v>70</v>
      </c>
      <c r="E76" s="16" t="s">
        <v>11</v>
      </c>
      <c r="F76" s="16" t="s">
        <v>54</v>
      </c>
      <c r="G76" s="16" t="s">
        <v>55</v>
      </c>
      <c r="H76" s="16">
        <v>2</v>
      </c>
      <c r="I76" s="16">
        <v>20</v>
      </c>
      <c r="J76" s="16">
        <v>19.03</v>
      </c>
      <c r="K76" s="16">
        <v>2</v>
      </c>
      <c r="L76" s="16">
        <v>1.41</v>
      </c>
    </row>
    <row r="77" spans="1:12" ht="15.45" customHeight="1" x14ac:dyDescent="0.3">
      <c r="A77" s="14">
        <v>46038</v>
      </c>
      <c r="B77" s="15">
        <v>46039.085416666669</v>
      </c>
      <c r="C77" s="16">
        <v>20</v>
      </c>
      <c r="D77" s="16" t="s">
        <v>70</v>
      </c>
      <c r="E77" s="16" t="s">
        <v>11</v>
      </c>
      <c r="F77" s="16" t="s">
        <v>69</v>
      </c>
      <c r="G77" s="16" t="s">
        <v>51</v>
      </c>
      <c r="H77" s="16">
        <v>15</v>
      </c>
      <c r="I77" s="16">
        <v>35</v>
      </c>
      <c r="J77" s="16">
        <v>36.53</v>
      </c>
      <c r="K77" s="16">
        <v>2</v>
      </c>
      <c r="L77" s="16">
        <v>1.85</v>
      </c>
    </row>
    <row r="78" spans="1:12" ht="15.45" customHeight="1" x14ac:dyDescent="0.3">
      <c r="A78" s="14">
        <v>46038</v>
      </c>
      <c r="B78" s="15">
        <v>46039.074305555558</v>
      </c>
      <c r="C78" s="16">
        <v>36</v>
      </c>
      <c r="D78" s="16" t="s">
        <v>70</v>
      </c>
      <c r="E78" s="16" t="s">
        <v>11</v>
      </c>
      <c r="F78" s="16" t="s">
        <v>72</v>
      </c>
      <c r="G78" s="16" t="s">
        <v>51</v>
      </c>
      <c r="H78" s="16">
        <v>270</v>
      </c>
      <c r="I78" s="16">
        <v>35</v>
      </c>
      <c r="J78" s="16">
        <v>31.8</v>
      </c>
      <c r="K78" s="16">
        <v>2</v>
      </c>
      <c r="L78" s="16">
        <v>1.88</v>
      </c>
    </row>
    <row r="79" spans="1:12" ht="15.45" customHeight="1" x14ac:dyDescent="0.3">
      <c r="A79" s="14">
        <v>46038</v>
      </c>
      <c r="B79" s="15">
        <v>46039.064583333333</v>
      </c>
      <c r="C79" s="16">
        <v>26</v>
      </c>
      <c r="D79" s="16" t="s">
        <v>70</v>
      </c>
      <c r="E79" s="16" t="s">
        <v>11</v>
      </c>
      <c r="F79" s="16" t="s">
        <v>50</v>
      </c>
      <c r="G79" s="16" t="s">
        <v>51</v>
      </c>
      <c r="H79" s="16">
        <v>15</v>
      </c>
      <c r="I79" s="16">
        <v>35</v>
      </c>
      <c r="J79" s="16">
        <v>35.17</v>
      </c>
      <c r="K79" s="16">
        <v>2</v>
      </c>
      <c r="L79" s="16">
        <v>1.6</v>
      </c>
    </row>
    <row r="80" spans="1:12" ht="15.45" customHeight="1" x14ac:dyDescent="0.3">
      <c r="A80" s="14">
        <v>46038</v>
      </c>
      <c r="B80" s="15">
        <v>46039.061805555553</v>
      </c>
      <c r="C80" s="16">
        <v>38</v>
      </c>
      <c r="D80" s="16" t="s">
        <v>70</v>
      </c>
      <c r="E80" s="16" t="s">
        <v>11</v>
      </c>
      <c r="F80" s="16" t="s">
        <v>52</v>
      </c>
      <c r="G80" s="16" t="s">
        <v>53</v>
      </c>
      <c r="H80" s="16">
        <v>5</v>
      </c>
      <c r="I80" s="16">
        <v>24</v>
      </c>
      <c r="J80" s="16">
        <v>22.74</v>
      </c>
      <c r="K80" s="16">
        <v>2</v>
      </c>
      <c r="L80" s="16">
        <v>1.03</v>
      </c>
    </row>
    <row r="81" spans="1:12" ht="15.45" customHeight="1" x14ac:dyDescent="0.3">
      <c r="A81" s="14">
        <v>46038</v>
      </c>
      <c r="B81" s="15">
        <v>46039.061111111114</v>
      </c>
      <c r="C81" s="16">
        <v>11</v>
      </c>
      <c r="D81" s="16" t="s">
        <v>70</v>
      </c>
      <c r="E81" s="16" t="s">
        <v>11</v>
      </c>
      <c r="F81" s="16" t="s">
        <v>50</v>
      </c>
      <c r="G81" s="16" t="s">
        <v>51</v>
      </c>
      <c r="H81" s="16">
        <v>15</v>
      </c>
      <c r="I81" s="16">
        <v>35</v>
      </c>
      <c r="J81" s="16">
        <v>37.520000000000003</v>
      </c>
      <c r="K81" s="16">
        <v>2</v>
      </c>
      <c r="L81" s="16">
        <v>2.99</v>
      </c>
    </row>
    <row r="82" spans="1:12" ht="15.45" customHeight="1" x14ac:dyDescent="0.3">
      <c r="A82" s="14">
        <v>46038</v>
      </c>
      <c r="B82" s="15">
        <v>46039.059027777781</v>
      </c>
      <c r="C82" s="16">
        <v>20</v>
      </c>
      <c r="D82" s="16" t="s">
        <v>70</v>
      </c>
      <c r="E82" s="16" t="s">
        <v>11</v>
      </c>
      <c r="F82" s="16" t="s">
        <v>69</v>
      </c>
      <c r="G82" s="16" t="s">
        <v>51</v>
      </c>
      <c r="H82" s="16">
        <v>15</v>
      </c>
      <c r="I82" s="16">
        <v>35</v>
      </c>
      <c r="J82" s="16">
        <v>35.909999999999997</v>
      </c>
      <c r="K82" s="16">
        <v>2</v>
      </c>
      <c r="L82" s="16">
        <v>1.28</v>
      </c>
    </row>
    <row r="83" spans="1:12" ht="15.45" customHeight="1" x14ac:dyDescent="0.3">
      <c r="A83" s="14">
        <v>46038</v>
      </c>
      <c r="B83" s="15">
        <v>46039.059027777781</v>
      </c>
      <c r="C83" s="16">
        <v>9</v>
      </c>
      <c r="D83" s="16" t="s">
        <v>70</v>
      </c>
      <c r="E83" s="16" t="s">
        <v>11</v>
      </c>
      <c r="F83" s="16" t="s">
        <v>50</v>
      </c>
      <c r="G83" s="16" t="s">
        <v>51</v>
      </c>
      <c r="H83" s="16">
        <v>15</v>
      </c>
      <c r="I83" s="16">
        <v>35</v>
      </c>
      <c r="J83" s="16">
        <v>36.15</v>
      </c>
      <c r="K83" s="16">
        <v>2</v>
      </c>
      <c r="L83" s="16">
        <v>1.95</v>
      </c>
    </row>
    <row r="84" spans="1:12" ht="15.45" customHeight="1" x14ac:dyDescent="0.3">
      <c r="A84" s="14">
        <v>46038</v>
      </c>
      <c r="B84" s="15">
        <v>46039.056944444441</v>
      </c>
      <c r="C84" s="16">
        <v>20</v>
      </c>
      <c r="D84" s="16" t="s">
        <v>70</v>
      </c>
      <c r="E84" s="16" t="s">
        <v>11</v>
      </c>
      <c r="F84" s="16" t="s">
        <v>69</v>
      </c>
      <c r="G84" s="16" t="s">
        <v>51</v>
      </c>
      <c r="H84" s="16">
        <v>15</v>
      </c>
      <c r="I84" s="16">
        <v>35</v>
      </c>
      <c r="J84" s="16">
        <v>36.869999999999997</v>
      </c>
      <c r="K84" s="16">
        <v>2</v>
      </c>
      <c r="L84" s="16">
        <v>2.08</v>
      </c>
    </row>
    <row r="85" spans="1:12" ht="15.45" customHeight="1" x14ac:dyDescent="0.3">
      <c r="A85" s="14">
        <v>46038</v>
      </c>
      <c r="B85" s="15">
        <v>46039.051388888889</v>
      </c>
      <c r="C85" s="16">
        <v>38</v>
      </c>
      <c r="D85" s="16" t="s">
        <v>70</v>
      </c>
      <c r="E85" s="16" t="s">
        <v>11</v>
      </c>
      <c r="F85" s="16" t="s">
        <v>52</v>
      </c>
      <c r="G85" s="16" t="s">
        <v>53</v>
      </c>
      <c r="H85" s="16">
        <v>5</v>
      </c>
      <c r="I85" s="16">
        <v>24</v>
      </c>
      <c r="J85" s="16">
        <v>26.16</v>
      </c>
      <c r="K85" s="16">
        <v>2</v>
      </c>
      <c r="L85" s="16">
        <v>1.6</v>
      </c>
    </row>
    <row r="86" spans="1:12" ht="15.45" customHeight="1" x14ac:dyDescent="0.3">
      <c r="A86" s="14">
        <v>46038</v>
      </c>
      <c r="B86" s="15">
        <v>46039.049305555556</v>
      </c>
      <c r="C86" s="16">
        <v>10</v>
      </c>
      <c r="D86" s="16" t="s">
        <v>70</v>
      </c>
      <c r="E86" s="16" t="s">
        <v>11</v>
      </c>
      <c r="F86" s="16" t="s">
        <v>54</v>
      </c>
      <c r="G86" s="16" t="s">
        <v>55</v>
      </c>
      <c r="H86" s="16">
        <v>2</v>
      </c>
      <c r="I86" s="16">
        <v>20</v>
      </c>
      <c r="J86" s="16">
        <v>19.440000000000001</v>
      </c>
      <c r="K86" s="16">
        <v>2</v>
      </c>
      <c r="L86" s="16">
        <v>0.83</v>
      </c>
    </row>
    <row r="87" spans="1:12" ht="15.45" customHeight="1" x14ac:dyDescent="0.3">
      <c r="A87" s="14">
        <v>46038</v>
      </c>
      <c r="B87" s="15">
        <v>46039.048611111109</v>
      </c>
      <c r="C87" s="16">
        <v>36</v>
      </c>
      <c r="D87" s="16" t="s">
        <v>70</v>
      </c>
      <c r="E87" s="16" t="s">
        <v>11</v>
      </c>
      <c r="F87" s="16" t="s">
        <v>72</v>
      </c>
      <c r="G87" s="16" t="s">
        <v>51</v>
      </c>
      <c r="H87" s="16">
        <v>270</v>
      </c>
      <c r="I87" s="16">
        <v>35</v>
      </c>
      <c r="J87" s="16">
        <v>38.64</v>
      </c>
      <c r="K87" s="16">
        <v>2</v>
      </c>
      <c r="L87" s="16">
        <v>2.2999999999999998</v>
      </c>
    </row>
    <row r="88" spans="1:12" ht="15.45" customHeight="1" x14ac:dyDescent="0.3">
      <c r="A88" s="14">
        <v>46038</v>
      </c>
      <c r="B88" s="15">
        <v>46039.047222222223</v>
      </c>
      <c r="C88" s="16">
        <v>26</v>
      </c>
      <c r="D88" s="16" t="s">
        <v>70</v>
      </c>
      <c r="E88" s="16" t="s">
        <v>11</v>
      </c>
      <c r="F88" s="16" t="s">
        <v>50</v>
      </c>
      <c r="G88" s="16" t="s">
        <v>51</v>
      </c>
      <c r="H88" s="16">
        <v>15</v>
      </c>
      <c r="I88" s="16">
        <v>35</v>
      </c>
      <c r="J88" s="16">
        <v>35.85</v>
      </c>
      <c r="K88" s="16">
        <v>2</v>
      </c>
      <c r="L88" s="16">
        <v>2.16</v>
      </c>
    </row>
    <row r="89" spans="1:12" ht="15.45" customHeight="1" x14ac:dyDescent="0.3">
      <c r="A89" s="14">
        <v>46038</v>
      </c>
      <c r="B89" s="15">
        <v>46039.045138888891</v>
      </c>
      <c r="C89" s="16">
        <v>37</v>
      </c>
      <c r="D89" s="16" t="s">
        <v>70</v>
      </c>
      <c r="E89" s="16" t="s">
        <v>11</v>
      </c>
      <c r="F89" s="16" t="s">
        <v>52</v>
      </c>
      <c r="G89" s="16" t="s">
        <v>53</v>
      </c>
      <c r="H89" s="16">
        <v>5</v>
      </c>
      <c r="I89" s="16">
        <v>24</v>
      </c>
      <c r="J89" s="16">
        <v>26.92</v>
      </c>
      <c r="K89" s="16">
        <v>2</v>
      </c>
      <c r="L89" s="16">
        <v>1.9</v>
      </c>
    </row>
    <row r="90" spans="1:12" ht="15.45" customHeight="1" x14ac:dyDescent="0.3">
      <c r="A90" s="14">
        <v>46038</v>
      </c>
      <c r="B90" s="15">
        <v>46039.043749999997</v>
      </c>
      <c r="C90" s="16">
        <v>11</v>
      </c>
      <c r="D90" s="16" t="s">
        <v>70</v>
      </c>
      <c r="E90" s="16" t="s">
        <v>11</v>
      </c>
      <c r="F90" s="16" t="s">
        <v>50</v>
      </c>
      <c r="G90" s="16" t="s">
        <v>51</v>
      </c>
      <c r="H90" s="16">
        <v>15</v>
      </c>
      <c r="I90" s="16">
        <v>35</v>
      </c>
      <c r="J90" s="16">
        <v>38.630000000000003</v>
      </c>
      <c r="K90" s="16">
        <v>2</v>
      </c>
      <c r="L90" s="16">
        <v>2.2799999999999998</v>
      </c>
    </row>
    <row r="91" spans="1:12" ht="15.45" customHeight="1" x14ac:dyDescent="0.3">
      <c r="A91" s="14">
        <v>46038</v>
      </c>
      <c r="B91" s="15">
        <v>46039.043055555558</v>
      </c>
      <c r="C91" s="16">
        <v>36</v>
      </c>
      <c r="D91" s="16" t="s">
        <v>70</v>
      </c>
      <c r="E91" s="16" t="s">
        <v>11</v>
      </c>
      <c r="F91" s="16" t="s">
        <v>72</v>
      </c>
      <c r="G91" s="16" t="s">
        <v>51</v>
      </c>
      <c r="H91" s="16">
        <v>270</v>
      </c>
      <c r="I91" s="16">
        <v>35</v>
      </c>
      <c r="J91" s="16">
        <v>38.049999999999997</v>
      </c>
      <c r="K91" s="16">
        <v>2</v>
      </c>
      <c r="L91" s="16">
        <v>2.08</v>
      </c>
    </row>
    <row r="92" spans="1:12" ht="15.45" customHeight="1" x14ac:dyDescent="0.3">
      <c r="A92" s="14">
        <v>46038</v>
      </c>
      <c r="B92" s="15">
        <v>46039.02847222222</v>
      </c>
      <c r="C92" s="16">
        <v>38</v>
      </c>
      <c r="D92" s="16" t="s">
        <v>70</v>
      </c>
      <c r="E92" s="16" t="s">
        <v>11</v>
      </c>
      <c r="F92" s="16" t="s">
        <v>52</v>
      </c>
      <c r="G92" s="16" t="s">
        <v>53</v>
      </c>
      <c r="H92" s="16">
        <v>5</v>
      </c>
      <c r="I92" s="16">
        <v>24</v>
      </c>
      <c r="J92" s="16">
        <v>24.32</v>
      </c>
      <c r="K92" s="16">
        <v>2</v>
      </c>
      <c r="L92" s="16">
        <v>1.87</v>
      </c>
    </row>
    <row r="93" spans="1:12" ht="15.45" customHeight="1" x14ac:dyDescent="0.3">
      <c r="A93" s="14">
        <v>46038</v>
      </c>
      <c r="B93" s="15">
        <v>46039.022916666669</v>
      </c>
      <c r="C93" s="16">
        <v>38</v>
      </c>
      <c r="D93" s="16" t="s">
        <v>70</v>
      </c>
      <c r="E93" s="16" t="s">
        <v>11</v>
      </c>
      <c r="F93" s="16" t="s">
        <v>52</v>
      </c>
      <c r="G93" s="16" t="s">
        <v>53</v>
      </c>
      <c r="H93" s="16">
        <v>5</v>
      </c>
      <c r="I93" s="16">
        <v>24</v>
      </c>
      <c r="J93" s="16">
        <v>24.79</v>
      </c>
      <c r="K93" s="16">
        <v>2</v>
      </c>
      <c r="L93" s="16">
        <v>2.3199999999999998</v>
      </c>
    </row>
    <row r="94" spans="1:12" ht="15.45" customHeight="1" x14ac:dyDescent="0.3">
      <c r="A94" s="14">
        <v>46038</v>
      </c>
      <c r="B94" s="15">
        <v>46039.018750000003</v>
      </c>
      <c r="C94" s="16">
        <v>10</v>
      </c>
      <c r="D94" s="16" t="s">
        <v>70</v>
      </c>
      <c r="E94" s="16" t="s">
        <v>11</v>
      </c>
      <c r="F94" s="16" t="s">
        <v>54</v>
      </c>
      <c r="G94" s="16" t="s">
        <v>55</v>
      </c>
      <c r="H94" s="16">
        <v>2</v>
      </c>
      <c r="I94" s="16">
        <v>20</v>
      </c>
      <c r="J94" s="16">
        <v>19.45</v>
      </c>
      <c r="K94" s="16">
        <v>2</v>
      </c>
      <c r="L94" s="16">
        <v>1.05</v>
      </c>
    </row>
    <row r="95" spans="1:12" ht="15.45" customHeight="1" x14ac:dyDescent="0.3">
      <c r="A95" s="14">
        <v>46038</v>
      </c>
      <c r="B95" s="15">
        <v>46039.01666666667</v>
      </c>
      <c r="C95" s="16">
        <v>26</v>
      </c>
      <c r="D95" s="16" t="s">
        <v>70</v>
      </c>
      <c r="E95" s="16" t="s">
        <v>11</v>
      </c>
      <c r="F95" s="16" t="s">
        <v>50</v>
      </c>
      <c r="G95" s="16" t="s">
        <v>51</v>
      </c>
      <c r="H95" s="16">
        <v>15</v>
      </c>
      <c r="I95" s="16">
        <v>35</v>
      </c>
      <c r="J95" s="16">
        <v>35.299999999999997</v>
      </c>
      <c r="K95" s="16">
        <v>2</v>
      </c>
      <c r="L95" s="16">
        <v>1.83</v>
      </c>
    </row>
    <row r="96" spans="1:12" ht="15.45" customHeight="1" x14ac:dyDescent="0.3">
      <c r="A96" s="14">
        <v>46038</v>
      </c>
      <c r="B96" s="15">
        <v>46039.015972222223</v>
      </c>
      <c r="C96" s="16">
        <v>11</v>
      </c>
      <c r="D96" s="16" t="s">
        <v>70</v>
      </c>
      <c r="E96" s="16" t="s">
        <v>11</v>
      </c>
      <c r="F96" s="16" t="s">
        <v>50</v>
      </c>
      <c r="G96" s="16" t="s">
        <v>51</v>
      </c>
      <c r="H96" s="16">
        <v>15</v>
      </c>
      <c r="I96" s="16">
        <v>35</v>
      </c>
      <c r="J96" s="16">
        <v>37.270000000000003</v>
      </c>
      <c r="K96" s="16">
        <v>2</v>
      </c>
      <c r="L96" s="16">
        <v>2.2599999999999998</v>
      </c>
    </row>
    <row r="97" spans="1:12" ht="15.45" customHeight="1" x14ac:dyDescent="0.3">
      <c r="A97" s="14">
        <v>46038</v>
      </c>
      <c r="B97" s="15">
        <v>46039.01458333333</v>
      </c>
      <c r="C97" s="16">
        <v>11</v>
      </c>
      <c r="D97" s="16" t="s">
        <v>70</v>
      </c>
      <c r="E97" s="16" t="s">
        <v>11</v>
      </c>
      <c r="F97" s="16" t="s">
        <v>50</v>
      </c>
      <c r="G97" s="16" t="s">
        <v>51</v>
      </c>
      <c r="H97" s="16">
        <v>15</v>
      </c>
      <c r="I97" s="16">
        <v>35</v>
      </c>
      <c r="J97" s="16">
        <v>39.46</v>
      </c>
      <c r="K97" s="16">
        <v>2</v>
      </c>
      <c r="L97" s="16">
        <v>1.2</v>
      </c>
    </row>
    <row r="98" spans="1:12" ht="15.45" customHeight="1" x14ac:dyDescent="0.3">
      <c r="A98" s="14">
        <v>46038</v>
      </c>
      <c r="B98" s="15">
        <v>46039.009722222225</v>
      </c>
      <c r="C98" s="16">
        <v>35</v>
      </c>
      <c r="D98" s="16" t="s">
        <v>70</v>
      </c>
      <c r="E98" s="16" t="s">
        <v>11</v>
      </c>
      <c r="F98" s="16" t="s">
        <v>73</v>
      </c>
      <c r="G98" s="16" t="s">
        <v>63</v>
      </c>
      <c r="H98" s="16">
        <v>14</v>
      </c>
      <c r="I98" s="16">
        <v>12</v>
      </c>
      <c r="J98" s="16">
        <v>12.61</v>
      </c>
      <c r="K98" s="16">
        <v>2</v>
      </c>
      <c r="L98" s="16">
        <v>1.8</v>
      </c>
    </row>
    <row r="99" spans="1:12" ht="15.45" customHeight="1" x14ac:dyDescent="0.3">
      <c r="A99" s="14">
        <v>46038</v>
      </c>
      <c r="B99" s="15">
        <v>46039.006249999999</v>
      </c>
      <c r="C99" s="16">
        <v>36</v>
      </c>
      <c r="D99" s="16" t="s">
        <v>70</v>
      </c>
      <c r="E99" s="16" t="s">
        <v>11</v>
      </c>
      <c r="F99" s="16" t="s">
        <v>72</v>
      </c>
      <c r="G99" s="16" t="s">
        <v>51</v>
      </c>
      <c r="H99" s="16">
        <v>270</v>
      </c>
      <c r="I99" s="16">
        <v>35</v>
      </c>
      <c r="J99" s="16">
        <v>36.21</v>
      </c>
      <c r="K99" s="16">
        <v>2</v>
      </c>
      <c r="L99" s="16">
        <v>1.93</v>
      </c>
    </row>
    <row r="100" spans="1:12" ht="15.45" customHeight="1" x14ac:dyDescent="0.3">
      <c r="A100" s="14">
        <v>46038</v>
      </c>
      <c r="B100" s="15">
        <v>46039.005555555559</v>
      </c>
      <c r="C100" s="16">
        <v>20</v>
      </c>
      <c r="D100" s="16" t="s">
        <v>70</v>
      </c>
      <c r="E100" s="16" t="s">
        <v>11</v>
      </c>
      <c r="F100" s="16" t="s">
        <v>69</v>
      </c>
      <c r="G100" s="16" t="s">
        <v>51</v>
      </c>
      <c r="H100" s="16">
        <v>15</v>
      </c>
      <c r="I100" s="16">
        <v>35</v>
      </c>
      <c r="J100" s="16">
        <v>33.5</v>
      </c>
      <c r="K100" s="16">
        <v>2</v>
      </c>
      <c r="L100" s="16">
        <v>2.1</v>
      </c>
    </row>
    <row r="101" spans="1:12" ht="15.45" customHeight="1" x14ac:dyDescent="0.3">
      <c r="A101" s="14">
        <v>46038</v>
      </c>
      <c r="B101" s="15">
        <v>46039.003472222219</v>
      </c>
      <c r="C101" s="16">
        <v>9</v>
      </c>
      <c r="D101" s="16" t="s">
        <v>70</v>
      </c>
      <c r="E101" s="16" t="s">
        <v>11</v>
      </c>
      <c r="F101" s="16" t="s">
        <v>50</v>
      </c>
      <c r="G101" s="16" t="s">
        <v>51</v>
      </c>
      <c r="H101" s="16">
        <v>15</v>
      </c>
      <c r="I101" s="16">
        <v>35</v>
      </c>
      <c r="J101" s="16">
        <v>35.96</v>
      </c>
      <c r="K101" s="16">
        <v>2</v>
      </c>
      <c r="L101" s="16">
        <v>1.5</v>
      </c>
    </row>
    <row r="102" spans="1:12" ht="15.45" customHeight="1" x14ac:dyDescent="0.3">
      <c r="A102" s="14">
        <v>46038</v>
      </c>
      <c r="B102" s="15">
        <v>46039.001388888886</v>
      </c>
      <c r="C102" s="16">
        <v>37</v>
      </c>
      <c r="D102" s="16" t="s">
        <v>70</v>
      </c>
      <c r="E102" s="16" t="s">
        <v>11</v>
      </c>
      <c r="F102" s="16" t="s">
        <v>52</v>
      </c>
      <c r="G102" s="16" t="s">
        <v>53</v>
      </c>
      <c r="H102" s="16">
        <v>5</v>
      </c>
      <c r="I102" s="16">
        <v>24</v>
      </c>
      <c r="J102" s="16">
        <v>25.8</v>
      </c>
      <c r="K102" s="16">
        <v>2</v>
      </c>
      <c r="L102" s="16">
        <v>1.83</v>
      </c>
    </row>
    <row r="103" spans="1:12" ht="15.45" customHeight="1" x14ac:dyDescent="0.3">
      <c r="A103" s="14">
        <v>46038</v>
      </c>
      <c r="B103" s="15">
        <v>46038.999305555553</v>
      </c>
      <c r="C103" s="16">
        <v>9</v>
      </c>
      <c r="D103" s="16" t="s">
        <v>70</v>
      </c>
      <c r="E103" s="16" t="s">
        <v>11</v>
      </c>
      <c r="F103" s="16" t="s">
        <v>50</v>
      </c>
      <c r="G103" s="16" t="s">
        <v>51</v>
      </c>
      <c r="H103" s="16">
        <v>15</v>
      </c>
      <c r="I103" s="16">
        <v>35</v>
      </c>
      <c r="J103" s="16">
        <v>34.46</v>
      </c>
      <c r="K103" s="16">
        <v>2</v>
      </c>
      <c r="L103" s="16">
        <v>2.4</v>
      </c>
    </row>
    <row r="104" spans="1:12" ht="15.45" customHeight="1" x14ac:dyDescent="0.3">
      <c r="A104" s="14">
        <v>46038</v>
      </c>
      <c r="B104" s="15">
        <v>46038.995833333334</v>
      </c>
      <c r="C104" s="16">
        <v>9</v>
      </c>
      <c r="D104" s="16" t="s">
        <v>70</v>
      </c>
      <c r="E104" s="16" t="s">
        <v>11</v>
      </c>
      <c r="F104" s="16" t="s">
        <v>50</v>
      </c>
      <c r="G104" s="16" t="s">
        <v>51</v>
      </c>
      <c r="H104" s="16">
        <v>15</v>
      </c>
      <c r="I104" s="16">
        <v>35</v>
      </c>
      <c r="J104" s="16">
        <v>36.43</v>
      </c>
      <c r="K104" s="16">
        <v>2</v>
      </c>
      <c r="L104" s="16">
        <v>1.56</v>
      </c>
    </row>
    <row r="105" spans="1:12" ht="15.45" customHeight="1" x14ac:dyDescent="0.3">
      <c r="A105" s="14">
        <v>46038</v>
      </c>
      <c r="B105" s="15">
        <v>46038.993055555555</v>
      </c>
      <c r="C105" s="16">
        <v>20</v>
      </c>
      <c r="D105" s="16" t="s">
        <v>70</v>
      </c>
      <c r="E105" s="16" t="s">
        <v>11</v>
      </c>
      <c r="F105" s="16" t="s">
        <v>69</v>
      </c>
      <c r="G105" s="16" t="s">
        <v>51</v>
      </c>
      <c r="H105" s="16">
        <v>15</v>
      </c>
      <c r="I105" s="16">
        <v>35</v>
      </c>
      <c r="J105" s="16">
        <v>37.409999999999997</v>
      </c>
      <c r="K105" s="16">
        <v>2</v>
      </c>
      <c r="L105" s="16">
        <v>1.9</v>
      </c>
    </row>
    <row r="106" spans="1:12" ht="15.45" customHeight="1" x14ac:dyDescent="0.3">
      <c r="A106" s="14">
        <v>46038</v>
      </c>
      <c r="B106" s="15">
        <v>46038.990972222222</v>
      </c>
      <c r="C106" s="16">
        <v>9</v>
      </c>
      <c r="D106" s="16" t="s">
        <v>70</v>
      </c>
      <c r="E106" s="16" t="s">
        <v>11</v>
      </c>
      <c r="F106" s="16" t="s">
        <v>50</v>
      </c>
      <c r="G106" s="16" t="s">
        <v>51</v>
      </c>
      <c r="H106" s="16">
        <v>15</v>
      </c>
      <c r="I106" s="16">
        <v>35</v>
      </c>
      <c r="J106" s="16">
        <v>36.909999999999997</v>
      </c>
      <c r="K106" s="16">
        <v>2</v>
      </c>
      <c r="L106" s="16">
        <v>1.25</v>
      </c>
    </row>
    <row r="107" spans="1:12" ht="15.45" customHeight="1" x14ac:dyDescent="0.3">
      <c r="A107" s="14">
        <v>46038</v>
      </c>
      <c r="B107" s="15">
        <v>46038.988194444442</v>
      </c>
      <c r="C107" s="16">
        <v>38</v>
      </c>
      <c r="D107" s="16" t="s">
        <v>70</v>
      </c>
      <c r="E107" s="16" t="s">
        <v>11</v>
      </c>
      <c r="F107" s="16" t="s">
        <v>52</v>
      </c>
      <c r="G107" s="16" t="s">
        <v>53</v>
      </c>
      <c r="H107" s="16">
        <v>5</v>
      </c>
      <c r="I107" s="16">
        <v>24</v>
      </c>
      <c r="J107" s="16">
        <v>23.7</v>
      </c>
      <c r="K107" s="16">
        <v>2</v>
      </c>
      <c r="L107" s="16">
        <v>1.1399999999999999</v>
      </c>
    </row>
    <row r="108" spans="1:12" ht="15.45" customHeight="1" x14ac:dyDescent="0.3">
      <c r="A108" s="14">
        <v>46038</v>
      </c>
      <c r="B108" s="15">
        <v>46038.986805555556</v>
      </c>
      <c r="C108" s="16">
        <v>37</v>
      </c>
      <c r="D108" s="16" t="s">
        <v>70</v>
      </c>
      <c r="E108" s="16" t="s">
        <v>11</v>
      </c>
      <c r="F108" s="16" t="s">
        <v>52</v>
      </c>
      <c r="G108" s="16" t="s">
        <v>53</v>
      </c>
      <c r="H108" s="16">
        <v>5</v>
      </c>
      <c r="I108" s="16">
        <v>24</v>
      </c>
      <c r="J108" s="16">
        <v>26.95</v>
      </c>
      <c r="K108" s="16">
        <v>2</v>
      </c>
      <c r="L108" s="16">
        <v>1.18</v>
      </c>
    </row>
    <row r="109" spans="1:12" ht="15.45" customHeight="1" x14ac:dyDescent="0.3">
      <c r="A109" s="14">
        <v>46038</v>
      </c>
      <c r="B109" s="15">
        <v>46038.980555555558</v>
      </c>
      <c r="C109" s="16">
        <v>26</v>
      </c>
      <c r="D109" s="16" t="s">
        <v>70</v>
      </c>
      <c r="E109" s="16" t="s">
        <v>11</v>
      </c>
      <c r="F109" s="16" t="s">
        <v>50</v>
      </c>
      <c r="G109" s="16" t="s">
        <v>51</v>
      </c>
      <c r="H109" s="16">
        <v>15</v>
      </c>
      <c r="I109" s="16">
        <v>35</v>
      </c>
      <c r="J109" s="16">
        <v>35.74</v>
      </c>
      <c r="K109" s="16">
        <v>2</v>
      </c>
      <c r="L109" s="16">
        <v>1.92</v>
      </c>
    </row>
    <row r="110" spans="1:12" ht="15.45" customHeight="1" x14ac:dyDescent="0.3">
      <c r="A110" s="14">
        <v>46038</v>
      </c>
      <c r="B110" s="15">
        <v>46038.977083333331</v>
      </c>
      <c r="C110" s="16">
        <v>38</v>
      </c>
      <c r="D110" s="16" t="s">
        <v>70</v>
      </c>
      <c r="E110" s="16" t="s">
        <v>11</v>
      </c>
      <c r="F110" s="16" t="s">
        <v>52</v>
      </c>
      <c r="G110" s="16" t="s">
        <v>53</v>
      </c>
      <c r="H110" s="16">
        <v>5</v>
      </c>
      <c r="I110" s="16">
        <v>24</v>
      </c>
      <c r="J110" s="16">
        <v>23.04</v>
      </c>
      <c r="K110" s="16">
        <v>2</v>
      </c>
      <c r="L110" s="16">
        <v>2.17</v>
      </c>
    </row>
    <row r="111" spans="1:12" ht="15.45" customHeight="1" x14ac:dyDescent="0.3">
      <c r="A111" s="14">
        <v>46038</v>
      </c>
      <c r="B111" s="15">
        <v>46038.973611111112</v>
      </c>
      <c r="C111" s="16">
        <v>38</v>
      </c>
      <c r="D111" s="16" t="s">
        <v>70</v>
      </c>
      <c r="E111" s="16" t="s">
        <v>11</v>
      </c>
      <c r="F111" s="16" t="s">
        <v>52</v>
      </c>
      <c r="G111" s="16" t="s">
        <v>53</v>
      </c>
      <c r="H111" s="16">
        <v>5</v>
      </c>
      <c r="I111" s="16">
        <v>24</v>
      </c>
      <c r="J111" s="16">
        <v>22.42</v>
      </c>
      <c r="K111" s="16">
        <v>2</v>
      </c>
      <c r="L111" s="16">
        <v>3.13</v>
      </c>
    </row>
    <row r="112" spans="1:12" ht="15.45" customHeight="1" x14ac:dyDescent="0.3">
      <c r="A112" s="14">
        <v>46038</v>
      </c>
      <c r="B112" s="15">
        <v>46038.972222222219</v>
      </c>
      <c r="C112" s="16">
        <v>20</v>
      </c>
      <c r="D112" s="16" t="s">
        <v>70</v>
      </c>
      <c r="E112" s="16" t="s">
        <v>11</v>
      </c>
      <c r="F112" s="16" t="s">
        <v>69</v>
      </c>
      <c r="G112" s="16" t="s">
        <v>51</v>
      </c>
      <c r="H112" s="16">
        <v>15</v>
      </c>
      <c r="I112" s="16">
        <v>35</v>
      </c>
      <c r="J112" s="16">
        <v>35.78</v>
      </c>
      <c r="K112" s="16">
        <v>2</v>
      </c>
      <c r="L112" s="16">
        <v>2.67</v>
      </c>
    </row>
    <row r="113" spans="1:12" ht="15.45" customHeight="1" x14ac:dyDescent="0.3">
      <c r="A113" s="14">
        <v>46038</v>
      </c>
      <c r="B113" s="15">
        <v>46038.969444444447</v>
      </c>
      <c r="C113" s="16">
        <v>38</v>
      </c>
      <c r="D113" s="16" t="s">
        <v>70</v>
      </c>
      <c r="E113" s="16" t="s">
        <v>11</v>
      </c>
      <c r="F113" s="16" t="s">
        <v>52</v>
      </c>
      <c r="G113" s="16" t="s">
        <v>53</v>
      </c>
      <c r="H113" s="16">
        <v>5</v>
      </c>
      <c r="I113" s="16">
        <v>24</v>
      </c>
      <c r="J113" s="16">
        <v>23.82</v>
      </c>
      <c r="K113" s="16">
        <v>2</v>
      </c>
      <c r="L113" s="16">
        <v>1.36</v>
      </c>
    </row>
    <row r="114" spans="1:12" ht="15.45" customHeight="1" x14ac:dyDescent="0.3">
      <c r="A114" s="14">
        <v>46038</v>
      </c>
      <c r="B114" s="15">
        <v>46038.967361111114</v>
      </c>
      <c r="C114" s="16">
        <v>10</v>
      </c>
      <c r="D114" s="16" t="s">
        <v>70</v>
      </c>
      <c r="E114" s="16" t="s">
        <v>11</v>
      </c>
      <c r="F114" s="16" t="s">
        <v>54</v>
      </c>
      <c r="G114" s="16" t="s">
        <v>55</v>
      </c>
      <c r="H114" s="16">
        <v>2</v>
      </c>
      <c r="I114" s="16">
        <v>20</v>
      </c>
      <c r="J114" s="16">
        <v>19.18</v>
      </c>
      <c r="K114" s="16">
        <v>2</v>
      </c>
      <c r="L114" s="16">
        <v>0.39</v>
      </c>
    </row>
    <row r="115" spans="1:12" ht="15.45" customHeight="1" x14ac:dyDescent="0.3">
      <c r="A115" s="14">
        <v>46038</v>
      </c>
      <c r="B115" s="15">
        <v>46038.96597222222</v>
      </c>
      <c r="C115" s="16">
        <v>35</v>
      </c>
      <c r="D115" s="16" t="s">
        <v>70</v>
      </c>
      <c r="E115" s="16" t="s">
        <v>11</v>
      </c>
      <c r="F115" s="16" t="s">
        <v>73</v>
      </c>
      <c r="G115" s="16" t="s">
        <v>63</v>
      </c>
      <c r="H115" s="16">
        <v>14</v>
      </c>
      <c r="I115" s="16">
        <v>12</v>
      </c>
      <c r="J115" s="16">
        <v>11.86</v>
      </c>
      <c r="K115" s="16">
        <v>2</v>
      </c>
      <c r="L115" s="16">
        <v>1.37</v>
      </c>
    </row>
    <row r="116" spans="1:12" ht="15.45" customHeight="1" x14ac:dyDescent="0.3">
      <c r="A116" s="14">
        <v>46038</v>
      </c>
      <c r="B116" s="15">
        <v>46038.96597222222</v>
      </c>
      <c r="C116" s="16">
        <v>11</v>
      </c>
      <c r="D116" s="16" t="s">
        <v>70</v>
      </c>
      <c r="E116" s="16" t="s">
        <v>11</v>
      </c>
      <c r="F116" s="16" t="s">
        <v>50</v>
      </c>
      <c r="G116" s="16" t="s">
        <v>51</v>
      </c>
      <c r="H116" s="16">
        <v>15</v>
      </c>
      <c r="I116" s="16">
        <v>35</v>
      </c>
      <c r="J116" s="16">
        <v>34.83</v>
      </c>
      <c r="K116" s="16">
        <v>2</v>
      </c>
      <c r="L116" s="16">
        <v>2.27</v>
      </c>
    </row>
    <row r="117" spans="1:12" ht="15.45" customHeight="1" x14ac:dyDescent="0.3">
      <c r="A117" s="14">
        <v>46038</v>
      </c>
      <c r="B117" s="15">
        <v>46038.965277777781</v>
      </c>
      <c r="C117" s="16">
        <v>26</v>
      </c>
      <c r="D117" s="16" t="s">
        <v>70</v>
      </c>
      <c r="E117" s="16" t="s">
        <v>11</v>
      </c>
      <c r="F117" s="16" t="s">
        <v>50</v>
      </c>
      <c r="G117" s="16" t="s">
        <v>51</v>
      </c>
      <c r="H117" s="16">
        <v>15</v>
      </c>
      <c r="I117" s="16">
        <v>35</v>
      </c>
      <c r="J117" s="16">
        <v>36.54</v>
      </c>
      <c r="K117" s="16">
        <v>2</v>
      </c>
      <c r="L117" s="16">
        <v>2.1</v>
      </c>
    </row>
    <row r="118" spans="1:12" ht="15.45" customHeight="1" x14ac:dyDescent="0.3">
      <c r="A118" s="14">
        <v>46038</v>
      </c>
      <c r="B118" s="15">
        <v>46038.963888888888</v>
      </c>
      <c r="C118" s="16">
        <v>35</v>
      </c>
      <c r="D118" s="16" t="s">
        <v>70</v>
      </c>
      <c r="E118" s="16" t="s">
        <v>11</v>
      </c>
      <c r="F118" s="16" t="s">
        <v>73</v>
      </c>
      <c r="G118" s="16" t="s">
        <v>63</v>
      </c>
      <c r="H118" s="16">
        <v>14</v>
      </c>
      <c r="I118" s="16">
        <v>12</v>
      </c>
      <c r="J118" s="16">
        <v>12.07</v>
      </c>
      <c r="K118" s="16">
        <v>2</v>
      </c>
      <c r="L118" s="16">
        <v>0.75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F921-77D3-451B-A515-683AB539E8E7}">
  <dimension ref="A2:E15"/>
  <sheetViews>
    <sheetView workbookViewId="0"/>
  </sheetViews>
  <sheetFormatPr defaultRowHeight="14.4" x14ac:dyDescent="0.3"/>
  <cols>
    <col min="2" max="2" width="16.109375" bestFit="1" customWidth="1"/>
    <col min="3" max="3" width="15.6640625" bestFit="1" customWidth="1"/>
    <col min="4" max="4" width="19.6640625" bestFit="1" customWidth="1"/>
    <col min="5" max="5" width="12.33203125" bestFit="1" customWidth="1"/>
  </cols>
  <sheetData>
    <row r="2" spans="1:5" x14ac:dyDescent="0.3">
      <c r="A2" s="19"/>
      <c r="B2" s="19"/>
      <c r="C2" s="19" t="s">
        <v>86</v>
      </c>
      <c r="D2" s="19"/>
      <c r="E2" s="19"/>
    </row>
    <row r="3" spans="1:5" x14ac:dyDescent="0.3">
      <c r="A3" s="11" t="s">
        <v>107</v>
      </c>
      <c r="B3" s="11" t="s">
        <v>108</v>
      </c>
      <c r="C3" s="11" t="s">
        <v>111</v>
      </c>
      <c r="D3" s="11" t="s">
        <v>112</v>
      </c>
      <c r="E3" s="11" t="s">
        <v>99</v>
      </c>
    </row>
    <row r="4" spans="1:5" x14ac:dyDescent="0.3">
      <c r="A4" s="12">
        <v>10</v>
      </c>
      <c r="B4" s="25" t="s">
        <v>54</v>
      </c>
      <c r="C4" s="32">
        <v>20</v>
      </c>
      <c r="D4" s="7">
        <v>19.735882352941179</v>
      </c>
      <c r="E4" s="7">
        <v>1.1702941176470585</v>
      </c>
    </row>
    <row r="5" spans="1:5" x14ac:dyDescent="0.3">
      <c r="A5" s="33">
        <v>19</v>
      </c>
      <c r="B5" s="34" t="s">
        <v>79</v>
      </c>
      <c r="C5" s="32">
        <v>30</v>
      </c>
      <c r="D5" s="7">
        <v>31.042500000000004</v>
      </c>
      <c r="E5" s="7">
        <v>2.5149999999999997</v>
      </c>
    </row>
    <row r="6" spans="1:5" x14ac:dyDescent="0.3">
      <c r="A6" s="12">
        <v>20</v>
      </c>
      <c r="B6" s="25" t="s">
        <v>69</v>
      </c>
      <c r="C6" s="32">
        <v>35</v>
      </c>
      <c r="D6" s="7">
        <v>35.576969696969698</v>
      </c>
      <c r="E6" s="7">
        <v>2.5454545454545459</v>
      </c>
    </row>
    <row r="7" spans="1:5" x14ac:dyDescent="0.3">
      <c r="A7" s="12">
        <v>26</v>
      </c>
      <c r="B7" s="6" t="s">
        <v>50</v>
      </c>
      <c r="C7" s="32">
        <v>35</v>
      </c>
      <c r="D7" s="7">
        <v>35.404827586206892</v>
      </c>
      <c r="E7" s="7">
        <v>2.1213793103448273</v>
      </c>
    </row>
    <row r="8" spans="1:5" x14ac:dyDescent="0.3">
      <c r="A8" s="12">
        <v>35</v>
      </c>
      <c r="B8" s="6" t="s">
        <v>62</v>
      </c>
      <c r="C8" s="32">
        <v>12</v>
      </c>
      <c r="D8" s="7">
        <v>11.413333333333332</v>
      </c>
      <c r="E8" s="7">
        <v>1.2133333333333332</v>
      </c>
    </row>
    <row r="9" spans="1:5" x14ac:dyDescent="0.3">
      <c r="A9" s="12"/>
      <c r="B9" s="35" t="s">
        <v>73</v>
      </c>
      <c r="C9" s="32">
        <v>12</v>
      </c>
      <c r="D9" s="7">
        <v>11.86</v>
      </c>
      <c r="E9" s="7">
        <v>1.3742105263157895</v>
      </c>
    </row>
    <row r="10" spans="1:5" x14ac:dyDescent="0.3">
      <c r="A10" s="12">
        <v>36</v>
      </c>
      <c r="B10" s="25" t="s">
        <v>72</v>
      </c>
      <c r="C10" s="32">
        <v>35</v>
      </c>
      <c r="D10" s="7">
        <v>34.920000000000009</v>
      </c>
      <c r="E10" s="7">
        <v>2.1169047619047618</v>
      </c>
    </row>
    <row r="11" spans="1:5" x14ac:dyDescent="0.3">
      <c r="A11" s="36">
        <v>37</v>
      </c>
      <c r="B11" s="25" t="s">
        <v>52</v>
      </c>
      <c r="C11" s="32">
        <v>24</v>
      </c>
      <c r="D11" s="7">
        <v>20.937666666666665</v>
      </c>
      <c r="E11" s="7">
        <v>1.5003333333333333</v>
      </c>
    </row>
    <row r="12" spans="1:5" x14ac:dyDescent="0.3">
      <c r="A12" s="12">
        <v>38</v>
      </c>
      <c r="B12" s="6" t="s">
        <v>52</v>
      </c>
      <c r="C12" s="32">
        <v>24</v>
      </c>
      <c r="D12" s="7">
        <v>24.515217391304351</v>
      </c>
      <c r="E12" s="7">
        <v>1.6443478260869566</v>
      </c>
    </row>
    <row r="13" spans="1:5" x14ac:dyDescent="0.3">
      <c r="A13" s="12"/>
      <c r="B13" s="25" t="s">
        <v>76</v>
      </c>
      <c r="C13" s="32">
        <v>12</v>
      </c>
      <c r="D13" s="7">
        <v>13.13833333333333</v>
      </c>
      <c r="E13" s="7">
        <v>1.2550000000000001</v>
      </c>
    </row>
    <row r="14" spans="1:5" x14ac:dyDescent="0.3">
      <c r="A14" s="37">
        <v>9</v>
      </c>
      <c r="B14" s="38" t="s">
        <v>50</v>
      </c>
      <c r="C14" s="32">
        <v>35</v>
      </c>
      <c r="D14" s="7">
        <v>34.951315789473689</v>
      </c>
      <c r="E14" s="7">
        <v>1.8028947368421051</v>
      </c>
    </row>
    <row r="15" spans="1:5" x14ac:dyDescent="0.3">
      <c r="A15" s="27">
        <v>11</v>
      </c>
      <c r="B15" s="25" t="s">
        <v>50</v>
      </c>
      <c r="C15" s="32">
        <v>35</v>
      </c>
      <c r="D15" s="7">
        <v>36.610303030303029</v>
      </c>
      <c r="E15" s="7">
        <v>2.2500000000000004</v>
      </c>
    </row>
  </sheetData>
  <conditionalFormatting sqref="D2:E3">
    <cfRule type="cellIs" dxfId="7" priority="1" operator="greaterThan">
      <formula>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94A7-B4A8-4F58-B12E-D3A5742D0BA0}">
  <dimension ref="A1:L182"/>
  <sheetViews>
    <sheetView topLeftCell="A4" workbookViewId="0">
      <selection activeCell="I2" sqref="I2"/>
    </sheetView>
  </sheetViews>
  <sheetFormatPr defaultRowHeight="14.4" x14ac:dyDescent="0.3"/>
  <cols>
    <col min="1" max="1" width="10.44140625" bestFit="1" customWidth="1"/>
    <col min="2" max="2" width="15.5546875" bestFit="1" customWidth="1"/>
    <col min="6" max="6" width="15.77734375" customWidth="1"/>
  </cols>
  <sheetData>
    <row r="1" spans="1:12" x14ac:dyDescent="0.3">
      <c r="A1" t="s">
        <v>94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103</v>
      </c>
      <c r="I1" t="s">
        <v>113</v>
      </c>
      <c r="J1" t="s">
        <v>105</v>
      </c>
      <c r="K1" t="s">
        <v>106</v>
      </c>
      <c r="L1" t="s">
        <v>105</v>
      </c>
    </row>
    <row r="2" spans="1:12" ht="14.55" customHeight="1" x14ac:dyDescent="0.3">
      <c r="A2" s="14">
        <v>46036</v>
      </c>
      <c r="B2" s="15">
        <v>46036.37222222222</v>
      </c>
      <c r="C2" s="16">
        <v>31</v>
      </c>
      <c r="D2" s="16" t="s">
        <v>66</v>
      </c>
      <c r="E2" s="16" t="s">
        <v>8</v>
      </c>
      <c r="F2" s="16" t="s">
        <v>102</v>
      </c>
      <c r="G2" s="16" t="s">
        <v>93</v>
      </c>
      <c r="H2" s="16">
        <v>20</v>
      </c>
      <c r="I2" s="16">
        <v>90</v>
      </c>
      <c r="J2" s="16">
        <v>93</v>
      </c>
      <c r="K2" s="16">
        <v>6.66</v>
      </c>
      <c r="L2" s="16">
        <v>7</v>
      </c>
    </row>
    <row r="3" spans="1:12" ht="14.55" customHeight="1" x14ac:dyDescent="0.3">
      <c r="A3" s="14">
        <v>46036</v>
      </c>
      <c r="B3" s="15">
        <v>46036.370833333334</v>
      </c>
      <c r="C3" s="16">
        <v>36</v>
      </c>
      <c r="D3" s="16" t="s">
        <v>66</v>
      </c>
      <c r="E3" s="16" t="s">
        <v>8</v>
      </c>
      <c r="F3" s="16" t="s">
        <v>72</v>
      </c>
      <c r="G3" s="16" t="s">
        <v>51</v>
      </c>
      <c r="H3" s="16">
        <v>12</v>
      </c>
      <c r="I3" s="16">
        <v>170</v>
      </c>
      <c r="J3" s="16">
        <v>172</v>
      </c>
      <c r="K3" s="16">
        <v>6.66</v>
      </c>
      <c r="L3" s="16">
        <v>7</v>
      </c>
    </row>
    <row r="4" spans="1:12" ht="14.55" customHeight="1" x14ac:dyDescent="0.3">
      <c r="A4" s="14">
        <v>46036</v>
      </c>
      <c r="B4" s="15">
        <v>46036.367361111108</v>
      </c>
      <c r="C4" s="16">
        <v>31</v>
      </c>
      <c r="D4" s="16" t="s">
        <v>66</v>
      </c>
      <c r="E4" s="16" t="s">
        <v>8</v>
      </c>
      <c r="F4" s="16" t="s">
        <v>102</v>
      </c>
      <c r="G4" s="16" t="s">
        <v>93</v>
      </c>
      <c r="H4" s="16">
        <v>20</v>
      </c>
      <c r="I4" s="16">
        <v>90</v>
      </c>
      <c r="J4" s="16">
        <v>93</v>
      </c>
      <c r="K4" s="16">
        <v>6.66</v>
      </c>
      <c r="L4" s="16">
        <v>11</v>
      </c>
    </row>
    <row r="5" spans="1:12" ht="14.55" customHeight="1" x14ac:dyDescent="0.3">
      <c r="A5" s="14">
        <v>46036</v>
      </c>
      <c r="B5" s="15">
        <v>46036.364583333336</v>
      </c>
      <c r="C5" s="16">
        <v>25</v>
      </c>
      <c r="D5" s="16" t="s">
        <v>66</v>
      </c>
      <c r="E5" s="16" t="s">
        <v>8</v>
      </c>
      <c r="F5" s="16" t="s">
        <v>58</v>
      </c>
      <c r="G5" s="16" t="s">
        <v>59</v>
      </c>
      <c r="H5" s="16">
        <v>2</v>
      </c>
      <c r="I5" s="16">
        <v>104</v>
      </c>
      <c r="J5" s="16">
        <v>108</v>
      </c>
      <c r="K5" s="16">
        <v>6.66</v>
      </c>
      <c r="L5" s="16">
        <v>4</v>
      </c>
    </row>
    <row r="6" spans="1:12" ht="14.55" customHeight="1" x14ac:dyDescent="0.3">
      <c r="A6" s="14">
        <v>46036</v>
      </c>
      <c r="B6" s="15">
        <v>46036.363194444442</v>
      </c>
      <c r="C6" s="16">
        <v>31</v>
      </c>
      <c r="D6" s="16" t="s">
        <v>66</v>
      </c>
      <c r="E6" s="16" t="s">
        <v>8</v>
      </c>
      <c r="F6" s="16" t="s">
        <v>102</v>
      </c>
      <c r="G6" s="16" t="s">
        <v>93</v>
      </c>
      <c r="H6" s="16">
        <v>20</v>
      </c>
      <c r="I6" s="16">
        <v>90</v>
      </c>
      <c r="J6" s="16">
        <v>103</v>
      </c>
      <c r="K6" s="16">
        <v>6.66</v>
      </c>
      <c r="L6" s="16">
        <v>7</v>
      </c>
    </row>
    <row r="7" spans="1:12" ht="14.55" customHeight="1" x14ac:dyDescent="0.3">
      <c r="A7" s="14">
        <v>46036</v>
      </c>
      <c r="B7" s="15">
        <v>46036.359722222223</v>
      </c>
      <c r="C7" s="16">
        <v>31</v>
      </c>
      <c r="D7" s="16" t="s">
        <v>66</v>
      </c>
      <c r="E7" s="16" t="s">
        <v>8</v>
      </c>
      <c r="F7" s="16" t="s">
        <v>102</v>
      </c>
      <c r="G7" s="16" t="s">
        <v>93</v>
      </c>
      <c r="H7" s="16">
        <v>20</v>
      </c>
      <c r="I7" s="16">
        <v>90</v>
      </c>
      <c r="J7" s="16">
        <v>112</v>
      </c>
      <c r="K7" s="16">
        <v>6.66</v>
      </c>
      <c r="L7" s="16">
        <v>10</v>
      </c>
    </row>
    <row r="8" spans="1:12" ht="14.55" customHeight="1" x14ac:dyDescent="0.3">
      <c r="A8" s="14">
        <v>46036</v>
      </c>
      <c r="B8" s="15">
        <v>46036.354166666664</v>
      </c>
      <c r="C8" s="16">
        <v>20</v>
      </c>
      <c r="D8" s="16" t="s">
        <v>66</v>
      </c>
      <c r="E8" s="16" t="s">
        <v>8</v>
      </c>
      <c r="F8" s="16" t="s">
        <v>69</v>
      </c>
      <c r="G8" s="16" t="s">
        <v>51</v>
      </c>
      <c r="H8" s="16">
        <v>12</v>
      </c>
      <c r="I8" s="16">
        <v>170</v>
      </c>
      <c r="J8" s="16">
        <v>173</v>
      </c>
      <c r="K8" s="16">
        <v>10</v>
      </c>
      <c r="L8" s="16">
        <v>14</v>
      </c>
    </row>
    <row r="9" spans="1:12" ht="14.55" customHeight="1" x14ac:dyDescent="0.3">
      <c r="A9" s="14">
        <v>46036</v>
      </c>
      <c r="B9" s="15">
        <v>46036.350694444445</v>
      </c>
      <c r="C9" s="16">
        <v>11</v>
      </c>
      <c r="D9" s="16" t="s">
        <v>66</v>
      </c>
      <c r="E9" s="16" t="s">
        <v>8</v>
      </c>
      <c r="F9" s="16" t="s">
        <v>50</v>
      </c>
      <c r="G9" s="16" t="s">
        <v>51</v>
      </c>
      <c r="H9" s="16">
        <v>12</v>
      </c>
      <c r="I9" s="16">
        <v>170</v>
      </c>
      <c r="J9" s="16">
        <v>181</v>
      </c>
      <c r="K9" s="16">
        <v>10</v>
      </c>
      <c r="L9" s="16">
        <v>8</v>
      </c>
    </row>
    <row r="10" spans="1:12" ht="14.55" customHeight="1" x14ac:dyDescent="0.3">
      <c r="A10" s="14">
        <v>46036</v>
      </c>
      <c r="B10" s="15">
        <v>46036.345833333333</v>
      </c>
      <c r="C10" s="16">
        <v>38</v>
      </c>
      <c r="D10" s="16" t="s">
        <v>66</v>
      </c>
      <c r="E10" s="16" t="s">
        <v>8</v>
      </c>
      <c r="F10" s="16" t="s">
        <v>52</v>
      </c>
      <c r="G10" s="16" t="s">
        <v>53</v>
      </c>
      <c r="H10" s="16">
        <v>5</v>
      </c>
      <c r="I10" s="16">
        <v>106</v>
      </c>
      <c r="J10" s="16">
        <v>105</v>
      </c>
      <c r="K10" s="16">
        <v>6.66</v>
      </c>
      <c r="L10" s="16">
        <v>2</v>
      </c>
    </row>
    <row r="11" spans="1:12" ht="14.55" customHeight="1" x14ac:dyDescent="0.3">
      <c r="A11" s="14">
        <v>46036</v>
      </c>
      <c r="B11" s="15">
        <v>46036.343055555553</v>
      </c>
      <c r="C11" s="16">
        <v>10</v>
      </c>
      <c r="D11" s="16" t="s">
        <v>66</v>
      </c>
      <c r="E11" s="16" t="s">
        <v>8</v>
      </c>
      <c r="F11" s="16" t="s">
        <v>67</v>
      </c>
      <c r="G11" s="16" t="s">
        <v>68</v>
      </c>
      <c r="H11" s="16">
        <v>10</v>
      </c>
      <c r="I11" s="16">
        <v>101</v>
      </c>
      <c r="J11" s="16">
        <v>102</v>
      </c>
      <c r="K11" s="16">
        <v>6.66</v>
      </c>
      <c r="L11" s="16">
        <v>3</v>
      </c>
    </row>
    <row r="12" spans="1:12" ht="14.55" customHeight="1" x14ac:dyDescent="0.3">
      <c r="A12" s="14">
        <v>46036</v>
      </c>
      <c r="B12" s="15">
        <v>46036.339583333334</v>
      </c>
      <c r="C12" s="16">
        <v>10</v>
      </c>
      <c r="D12" s="16" t="s">
        <v>66</v>
      </c>
      <c r="E12" s="16" t="s">
        <v>8</v>
      </c>
      <c r="F12" s="16" t="s">
        <v>67</v>
      </c>
      <c r="G12" s="16" t="s">
        <v>68</v>
      </c>
      <c r="H12" s="16">
        <v>10</v>
      </c>
      <c r="I12" s="16">
        <v>101</v>
      </c>
      <c r="J12" s="16">
        <v>104</v>
      </c>
      <c r="K12" s="16">
        <v>6.66</v>
      </c>
      <c r="L12" s="16">
        <v>3</v>
      </c>
    </row>
    <row r="13" spans="1:12" ht="14.55" customHeight="1" x14ac:dyDescent="0.3">
      <c r="A13" s="14">
        <v>46036</v>
      </c>
      <c r="B13" s="15">
        <v>46036.336805555555</v>
      </c>
      <c r="C13" s="16">
        <v>24</v>
      </c>
      <c r="D13" s="16" t="s">
        <v>66</v>
      </c>
      <c r="E13" s="16" t="s">
        <v>8</v>
      </c>
      <c r="F13" s="16" t="s">
        <v>56</v>
      </c>
      <c r="G13" s="16" t="s">
        <v>57</v>
      </c>
      <c r="H13" s="16">
        <v>20</v>
      </c>
      <c r="I13" s="16">
        <v>110</v>
      </c>
      <c r="J13" s="16">
        <v>114</v>
      </c>
      <c r="K13" s="16">
        <v>6.66</v>
      </c>
      <c r="L13" s="16">
        <v>2</v>
      </c>
    </row>
    <row r="14" spans="1:12" ht="14.55" customHeight="1" x14ac:dyDescent="0.3">
      <c r="A14" s="14">
        <v>46036</v>
      </c>
      <c r="B14" s="15">
        <v>46036.336111111108</v>
      </c>
      <c r="C14" s="16">
        <v>33</v>
      </c>
      <c r="D14" s="16" t="s">
        <v>66</v>
      </c>
      <c r="E14" s="16" t="s">
        <v>8</v>
      </c>
      <c r="F14" s="16" t="s">
        <v>64</v>
      </c>
      <c r="G14" s="16" t="s">
        <v>65</v>
      </c>
      <c r="H14" s="16">
        <v>6</v>
      </c>
      <c r="I14" s="16">
        <v>103</v>
      </c>
      <c r="J14" s="16">
        <v>105</v>
      </c>
      <c r="K14" s="16">
        <v>6.66</v>
      </c>
      <c r="L14" s="16">
        <v>8</v>
      </c>
    </row>
    <row r="15" spans="1:12" ht="14.55" customHeight="1" x14ac:dyDescent="0.3">
      <c r="A15" s="14">
        <v>46036</v>
      </c>
      <c r="B15" s="15">
        <v>46036.320833333331</v>
      </c>
      <c r="C15" s="16">
        <v>20</v>
      </c>
      <c r="D15" s="16" t="s">
        <v>66</v>
      </c>
      <c r="E15" s="16" t="s">
        <v>8</v>
      </c>
      <c r="F15" s="16" t="s">
        <v>69</v>
      </c>
      <c r="G15" s="16" t="s">
        <v>51</v>
      </c>
      <c r="H15" s="16">
        <v>12</v>
      </c>
      <c r="I15" s="16">
        <v>170</v>
      </c>
      <c r="J15" s="16">
        <v>170</v>
      </c>
      <c r="K15" s="16">
        <v>10</v>
      </c>
      <c r="L15" s="16">
        <v>9</v>
      </c>
    </row>
    <row r="16" spans="1:12" ht="14.55" customHeight="1" x14ac:dyDescent="0.3">
      <c r="A16" s="14">
        <v>46036</v>
      </c>
      <c r="B16" s="15">
        <v>46036.319444444445</v>
      </c>
      <c r="C16" s="16">
        <v>9</v>
      </c>
      <c r="D16" s="16" t="s">
        <v>66</v>
      </c>
      <c r="E16" s="16" t="s">
        <v>8</v>
      </c>
      <c r="F16" s="16" t="s">
        <v>50</v>
      </c>
      <c r="G16" s="16" t="s">
        <v>51</v>
      </c>
      <c r="H16" s="16">
        <v>12</v>
      </c>
      <c r="I16" s="16">
        <v>170</v>
      </c>
      <c r="J16" s="16">
        <v>171</v>
      </c>
      <c r="K16" s="16">
        <v>10</v>
      </c>
      <c r="L16" s="16">
        <v>5</v>
      </c>
    </row>
    <row r="17" spans="1:12" ht="14.55" customHeight="1" x14ac:dyDescent="0.3">
      <c r="A17" s="14">
        <v>46036</v>
      </c>
      <c r="B17" s="15">
        <v>46036.318749999999</v>
      </c>
      <c r="C17" s="16">
        <v>26</v>
      </c>
      <c r="D17" s="16" t="s">
        <v>66</v>
      </c>
      <c r="E17" s="16" t="s">
        <v>8</v>
      </c>
      <c r="F17" s="16" t="s">
        <v>50</v>
      </c>
      <c r="G17" s="16" t="s">
        <v>51</v>
      </c>
      <c r="H17" s="16">
        <v>12</v>
      </c>
      <c r="I17" s="16">
        <v>170</v>
      </c>
      <c r="J17" s="16">
        <v>184</v>
      </c>
      <c r="K17" s="16">
        <v>10</v>
      </c>
      <c r="L17" s="16">
        <v>7</v>
      </c>
    </row>
    <row r="18" spans="1:12" ht="14.55" customHeight="1" x14ac:dyDescent="0.3">
      <c r="A18" s="14">
        <v>46036</v>
      </c>
      <c r="B18" s="15">
        <v>46036.31527777778</v>
      </c>
      <c r="C18" s="16">
        <v>26</v>
      </c>
      <c r="D18" s="16" t="s">
        <v>66</v>
      </c>
      <c r="E18" s="16" t="s">
        <v>8</v>
      </c>
      <c r="F18" s="16" t="s">
        <v>50</v>
      </c>
      <c r="G18" s="16" t="s">
        <v>51</v>
      </c>
      <c r="H18" s="16">
        <v>12</v>
      </c>
      <c r="I18" s="16">
        <v>170</v>
      </c>
      <c r="J18" s="16">
        <v>182</v>
      </c>
      <c r="K18" s="16">
        <v>10</v>
      </c>
      <c r="L18" s="16">
        <v>8</v>
      </c>
    </row>
    <row r="19" spans="1:12" ht="14.55" customHeight="1" x14ac:dyDescent="0.3">
      <c r="A19" s="14">
        <v>46036</v>
      </c>
      <c r="B19" s="15">
        <v>46036.313888888886</v>
      </c>
      <c r="C19" s="16">
        <v>25</v>
      </c>
      <c r="D19" s="16" t="s">
        <v>66</v>
      </c>
      <c r="E19" s="16" t="s">
        <v>8</v>
      </c>
      <c r="F19" s="16" t="s">
        <v>58</v>
      </c>
      <c r="G19" s="16" t="s">
        <v>59</v>
      </c>
      <c r="H19" s="16">
        <v>2</v>
      </c>
      <c r="I19" s="16">
        <v>104</v>
      </c>
      <c r="J19" s="16">
        <v>112</v>
      </c>
      <c r="K19" s="16">
        <v>6.66</v>
      </c>
      <c r="L19" s="16">
        <v>6</v>
      </c>
    </row>
    <row r="20" spans="1:12" ht="14.55" customHeight="1" x14ac:dyDescent="0.3">
      <c r="A20" s="14">
        <v>46036</v>
      </c>
      <c r="B20" s="15">
        <v>46036.311111111114</v>
      </c>
      <c r="C20" s="16">
        <v>11</v>
      </c>
      <c r="D20" s="16" t="s">
        <v>66</v>
      </c>
      <c r="E20" s="16" t="s">
        <v>8</v>
      </c>
      <c r="F20" s="16" t="s">
        <v>50</v>
      </c>
      <c r="G20" s="16" t="s">
        <v>51</v>
      </c>
      <c r="H20" s="16">
        <v>12</v>
      </c>
      <c r="I20" s="16">
        <v>170</v>
      </c>
      <c r="J20" s="16">
        <v>185</v>
      </c>
      <c r="K20" s="16">
        <v>10</v>
      </c>
      <c r="L20" s="16">
        <v>9</v>
      </c>
    </row>
    <row r="21" spans="1:12" ht="14.55" customHeight="1" x14ac:dyDescent="0.3">
      <c r="A21" s="14">
        <v>46036</v>
      </c>
      <c r="B21" s="15">
        <v>46036.305555555555</v>
      </c>
      <c r="C21" s="16">
        <v>11</v>
      </c>
      <c r="D21" s="16" t="s">
        <v>66</v>
      </c>
      <c r="E21" s="16" t="s">
        <v>8</v>
      </c>
      <c r="F21" s="16" t="s">
        <v>50</v>
      </c>
      <c r="G21" s="16" t="s">
        <v>51</v>
      </c>
      <c r="H21" s="16">
        <v>12</v>
      </c>
      <c r="I21" s="16">
        <v>170</v>
      </c>
      <c r="J21" s="16">
        <v>190</v>
      </c>
      <c r="K21" s="16">
        <v>10</v>
      </c>
      <c r="L21" s="16">
        <v>9</v>
      </c>
    </row>
    <row r="22" spans="1:12" ht="14.55" customHeight="1" x14ac:dyDescent="0.3">
      <c r="A22" s="14">
        <v>46036</v>
      </c>
      <c r="B22" s="15">
        <v>46036.304166666669</v>
      </c>
      <c r="C22" s="16">
        <v>36</v>
      </c>
      <c r="D22" s="16" t="s">
        <v>66</v>
      </c>
      <c r="E22" s="16" t="s">
        <v>8</v>
      </c>
      <c r="F22" s="16" t="s">
        <v>72</v>
      </c>
      <c r="G22" s="16" t="s">
        <v>51</v>
      </c>
      <c r="H22" s="16">
        <v>12</v>
      </c>
      <c r="I22" s="16">
        <v>170</v>
      </c>
      <c r="J22" s="16">
        <v>187</v>
      </c>
      <c r="K22" s="16">
        <v>6.66</v>
      </c>
      <c r="L22" s="16">
        <v>9</v>
      </c>
    </row>
    <row r="23" spans="1:12" ht="14.55" customHeight="1" x14ac:dyDescent="0.3">
      <c r="A23" s="14">
        <v>46036</v>
      </c>
      <c r="B23" s="15">
        <v>46036.304166666669</v>
      </c>
      <c r="C23" s="16">
        <v>20</v>
      </c>
      <c r="D23" s="16" t="s">
        <v>66</v>
      </c>
      <c r="E23" s="16" t="s">
        <v>8</v>
      </c>
      <c r="F23" s="16" t="s">
        <v>69</v>
      </c>
      <c r="G23" s="16" t="s">
        <v>51</v>
      </c>
      <c r="H23" s="16">
        <v>12</v>
      </c>
      <c r="I23" s="16">
        <v>170</v>
      </c>
      <c r="J23" s="16">
        <v>163</v>
      </c>
      <c r="K23" s="16">
        <v>10</v>
      </c>
      <c r="L23" s="16">
        <v>7</v>
      </c>
    </row>
    <row r="24" spans="1:12" ht="14.55" customHeight="1" x14ac:dyDescent="0.3">
      <c r="A24" s="14">
        <v>46036</v>
      </c>
      <c r="B24" s="15">
        <v>46036.302777777775</v>
      </c>
      <c r="C24" s="16">
        <v>24</v>
      </c>
      <c r="D24" s="16" t="s">
        <v>66</v>
      </c>
      <c r="E24" s="16" t="s">
        <v>8</v>
      </c>
      <c r="F24" s="16" t="s">
        <v>56</v>
      </c>
      <c r="G24" s="16" t="s">
        <v>57</v>
      </c>
      <c r="H24" s="16">
        <v>20</v>
      </c>
      <c r="I24" s="16">
        <v>110</v>
      </c>
      <c r="J24" s="16">
        <v>120</v>
      </c>
      <c r="K24" s="16">
        <v>6.66</v>
      </c>
      <c r="L24" s="16">
        <v>6</v>
      </c>
    </row>
    <row r="25" spans="1:12" ht="14.55" customHeight="1" x14ac:dyDescent="0.3">
      <c r="A25" s="14">
        <v>46036</v>
      </c>
      <c r="B25" s="15">
        <v>46036.293055555558</v>
      </c>
      <c r="C25" s="16">
        <v>33</v>
      </c>
      <c r="D25" s="16" t="s">
        <v>66</v>
      </c>
      <c r="E25" s="16" t="s">
        <v>8</v>
      </c>
      <c r="F25" s="16" t="s">
        <v>64</v>
      </c>
      <c r="G25" s="16" t="s">
        <v>65</v>
      </c>
      <c r="H25" s="16">
        <v>6</v>
      </c>
      <c r="I25" s="16">
        <v>103</v>
      </c>
      <c r="J25" s="16">
        <v>108</v>
      </c>
      <c r="K25" s="16">
        <v>6.66</v>
      </c>
      <c r="L25" s="16">
        <v>6</v>
      </c>
    </row>
    <row r="26" spans="1:12" ht="14.55" customHeight="1" x14ac:dyDescent="0.3">
      <c r="A26" s="14">
        <v>46036</v>
      </c>
      <c r="B26" s="15">
        <v>46036.290972222225</v>
      </c>
      <c r="C26" s="16">
        <v>38</v>
      </c>
      <c r="D26" s="16" t="s">
        <v>66</v>
      </c>
      <c r="E26" s="16" t="s">
        <v>8</v>
      </c>
      <c r="F26" s="16" t="s">
        <v>52</v>
      </c>
      <c r="G26" s="16" t="s">
        <v>53</v>
      </c>
      <c r="H26" s="16">
        <v>5</v>
      </c>
      <c r="I26" s="16">
        <v>106</v>
      </c>
      <c r="J26" s="16">
        <v>112</v>
      </c>
      <c r="K26" s="16">
        <v>6.66</v>
      </c>
      <c r="L26" s="16">
        <v>1</v>
      </c>
    </row>
    <row r="27" spans="1:12" ht="14.55" customHeight="1" x14ac:dyDescent="0.3">
      <c r="A27" s="14">
        <v>46036</v>
      </c>
      <c r="B27" s="15">
        <v>46036.288888888892</v>
      </c>
      <c r="C27" s="16">
        <v>10</v>
      </c>
      <c r="D27" s="16" t="s">
        <v>66</v>
      </c>
      <c r="E27" s="16" t="s">
        <v>8</v>
      </c>
      <c r="F27" s="16" t="s">
        <v>67</v>
      </c>
      <c r="G27" s="16" t="s">
        <v>68</v>
      </c>
      <c r="H27" s="16">
        <v>10</v>
      </c>
      <c r="I27" s="16">
        <v>101</v>
      </c>
      <c r="J27" s="16">
        <v>103</v>
      </c>
      <c r="K27" s="16">
        <v>6.66</v>
      </c>
      <c r="L27" s="16">
        <v>3</v>
      </c>
    </row>
    <row r="28" spans="1:12" ht="14.55" customHeight="1" x14ac:dyDescent="0.3">
      <c r="A28" s="14">
        <v>46036</v>
      </c>
      <c r="B28" s="15">
        <v>46036.288194444445</v>
      </c>
      <c r="C28" s="16">
        <v>38</v>
      </c>
      <c r="D28" s="16" t="s">
        <v>66</v>
      </c>
      <c r="E28" s="16" t="s">
        <v>8</v>
      </c>
      <c r="F28" s="16" t="s">
        <v>52</v>
      </c>
      <c r="G28" s="16" t="s">
        <v>53</v>
      </c>
      <c r="H28" s="16">
        <v>5</v>
      </c>
      <c r="I28" s="16">
        <v>106</v>
      </c>
      <c r="J28" s="16">
        <v>109</v>
      </c>
      <c r="K28" s="16">
        <v>6.66</v>
      </c>
      <c r="L28" s="16">
        <v>3</v>
      </c>
    </row>
    <row r="29" spans="1:12" ht="14.55" customHeight="1" x14ac:dyDescent="0.3">
      <c r="A29" s="14">
        <v>46036</v>
      </c>
      <c r="B29" s="15">
        <v>46036.286805555559</v>
      </c>
      <c r="C29" s="16">
        <v>10</v>
      </c>
      <c r="D29" s="16" t="s">
        <v>66</v>
      </c>
      <c r="E29" s="16" t="s">
        <v>8</v>
      </c>
      <c r="F29" s="16" t="s">
        <v>67</v>
      </c>
      <c r="G29" s="16" t="s">
        <v>68</v>
      </c>
      <c r="H29" s="16">
        <v>10</v>
      </c>
      <c r="I29" s="16">
        <v>101</v>
      </c>
      <c r="J29" s="16">
        <v>103</v>
      </c>
      <c r="K29" s="16">
        <v>6.66</v>
      </c>
      <c r="L29" s="16">
        <v>4</v>
      </c>
    </row>
    <row r="30" spans="1:12" ht="14.55" customHeight="1" x14ac:dyDescent="0.3">
      <c r="A30" s="14">
        <v>46036</v>
      </c>
      <c r="B30" s="15">
        <v>46036.284722222219</v>
      </c>
      <c r="C30" s="16">
        <v>24</v>
      </c>
      <c r="D30" s="16" t="s">
        <v>66</v>
      </c>
      <c r="E30" s="16" t="s">
        <v>8</v>
      </c>
      <c r="F30" s="16" t="s">
        <v>56</v>
      </c>
      <c r="G30" s="16" t="s">
        <v>57</v>
      </c>
      <c r="H30" s="16">
        <v>20</v>
      </c>
      <c r="I30" s="16">
        <v>110</v>
      </c>
      <c r="J30" s="16">
        <v>114</v>
      </c>
      <c r="K30" s="16">
        <v>6.66</v>
      </c>
      <c r="L30" s="16">
        <v>7</v>
      </c>
    </row>
    <row r="31" spans="1:12" ht="14.55" customHeight="1" x14ac:dyDescent="0.3">
      <c r="A31" s="14">
        <v>46036</v>
      </c>
      <c r="B31" s="15">
        <v>46036.28402777778</v>
      </c>
      <c r="C31" s="16">
        <v>33</v>
      </c>
      <c r="D31" s="16" t="s">
        <v>66</v>
      </c>
      <c r="E31" s="16" t="s">
        <v>8</v>
      </c>
      <c r="F31" s="16" t="s">
        <v>64</v>
      </c>
      <c r="G31" s="16" t="s">
        <v>65</v>
      </c>
      <c r="H31" s="16">
        <v>6</v>
      </c>
      <c r="I31" s="16">
        <v>103</v>
      </c>
      <c r="J31" s="16">
        <v>108</v>
      </c>
      <c r="K31" s="16">
        <v>6.66</v>
      </c>
      <c r="L31" s="16">
        <v>6</v>
      </c>
    </row>
    <row r="32" spans="1:12" ht="14.55" customHeight="1" x14ac:dyDescent="0.3">
      <c r="A32" s="14">
        <v>46036</v>
      </c>
      <c r="B32" s="15">
        <v>46036.282638888886</v>
      </c>
      <c r="C32" s="16">
        <v>9</v>
      </c>
      <c r="D32" s="16" t="s">
        <v>66</v>
      </c>
      <c r="E32" s="16" t="s">
        <v>8</v>
      </c>
      <c r="F32" s="16" t="s">
        <v>50</v>
      </c>
      <c r="G32" s="16" t="s">
        <v>51</v>
      </c>
      <c r="H32" s="16">
        <v>12</v>
      </c>
      <c r="I32" s="16">
        <v>170</v>
      </c>
      <c r="J32" s="16">
        <v>176</v>
      </c>
      <c r="K32" s="16">
        <v>10</v>
      </c>
      <c r="L32" s="16">
        <v>3</v>
      </c>
    </row>
    <row r="33" spans="1:12" ht="14.55" customHeight="1" x14ac:dyDescent="0.3">
      <c r="A33" s="14">
        <v>46036</v>
      </c>
      <c r="B33" s="15">
        <v>46036.28125</v>
      </c>
      <c r="C33" s="16">
        <v>9</v>
      </c>
      <c r="D33" s="16" t="s">
        <v>66</v>
      </c>
      <c r="E33" s="16" t="s">
        <v>8</v>
      </c>
      <c r="F33" s="16" t="s">
        <v>50</v>
      </c>
      <c r="G33" s="16" t="s">
        <v>51</v>
      </c>
      <c r="H33" s="16">
        <v>12</v>
      </c>
      <c r="I33" s="16">
        <v>170</v>
      </c>
      <c r="J33" s="16">
        <v>174</v>
      </c>
      <c r="K33" s="16">
        <v>10</v>
      </c>
      <c r="L33" s="16">
        <v>11</v>
      </c>
    </row>
    <row r="34" spans="1:12" ht="14.55" customHeight="1" x14ac:dyDescent="0.3">
      <c r="A34" s="14">
        <v>46036</v>
      </c>
      <c r="B34" s="15">
        <v>46036.28125</v>
      </c>
      <c r="C34" s="16">
        <v>33</v>
      </c>
      <c r="D34" s="16" t="s">
        <v>66</v>
      </c>
      <c r="E34" s="16" t="s">
        <v>8</v>
      </c>
      <c r="F34" s="16" t="s">
        <v>64</v>
      </c>
      <c r="G34" s="16" t="s">
        <v>65</v>
      </c>
      <c r="H34" s="16">
        <v>6</v>
      </c>
      <c r="I34" s="16">
        <v>103</v>
      </c>
      <c r="J34" s="16">
        <v>110</v>
      </c>
      <c r="K34" s="16">
        <v>6.66</v>
      </c>
      <c r="L34" s="16">
        <v>8</v>
      </c>
    </row>
    <row r="35" spans="1:12" ht="14.55" customHeight="1" x14ac:dyDescent="0.3">
      <c r="A35" s="14">
        <v>46038</v>
      </c>
      <c r="B35" s="15">
        <v>46039.265277777777</v>
      </c>
      <c r="C35" s="16">
        <v>24</v>
      </c>
      <c r="D35" s="16" t="s">
        <v>70</v>
      </c>
      <c r="E35" s="16" t="s">
        <v>11</v>
      </c>
      <c r="F35" s="16" t="s">
        <v>56</v>
      </c>
      <c r="G35" s="16" t="s">
        <v>57</v>
      </c>
      <c r="H35" s="16">
        <v>24</v>
      </c>
      <c r="I35" s="16">
        <v>110</v>
      </c>
      <c r="J35" s="16">
        <v>122</v>
      </c>
      <c r="K35" s="16">
        <v>6.66</v>
      </c>
      <c r="L35" s="16">
        <v>5</v>
      </c>
    </row>
    <row r="36" spans="1:12" ht="14.55" customHeight="1" x14ac:dyDescent="0.3">
      <c r="A36" s="14">
        <v>46038</v>
      </c>
      <c r="B36" s="15">
        <v>46039.262499999997</v>
      </c>
      <c r="C36" s="16">
        <v>36</v>
      </c>
      <c r="D36" s="16" t="s">
        <v>70</v>
      </c>
      <c r="E36" s="16" t="s">
        <v>11</v>
      </c>
      <c r="F36" s="16" t="s">
        <v>72</v>
      </c>
      <c r="G36" s="16" t="s">
        <v>51</v>
      </c>
      <c r="H36" s="16">
        <v>15</v>
      </c>
      <c r="I36" s="16">
        <v>170</v>
      </c>
      <c r="J36" s="16">
        <v>184</v>
      </c>
      <c r="K36" s="16">
        <v>6.66</v>
      </c>
      <c r="L36" s="16">
        <v>10</v>
      </c>
    </row>
    <row r="37" spans="1:12" ht="14.55" customHeight="1" x14ac:dyDescent="0.3">
      <c r="A37" s="14">
        <v>46038</v>
      </c>
      <c r="B37" s="15">
        <v>46039.260416666664</v>
      </c>
      <c r="C37" s="16">
        <v>24</v>
      </c>
      <c r="D37" s="16" t="s">
        <v>70</v>
      </c>
      <c r="E37" s="16" t="s">
        <v>11</v>
      </c>
      <c r="F37" s="16" t="s">
        <v>56</v>
      </c>
      <c r="G37" s="16" t="s">
        <v>57</v>
      </c>
      <c r="H37" s="16">
        <v>24</v>
      </c>
      <c r="I37" s="16">
        <v>110</v>
      </c>
      <c r="J37" s="16">
        <v>115</v>
      </c>
      <c r="K37" s="16">
        <v>6.66</v>
      </c>
      <c r="L37" s="16">
        <v>7</v>
      </c>
    </row>
    <row r="38" spans="1:12" ht="14.55" customHeight="1" x14ac:dyDescent="0.3">
      <c r="A38" s="14">
        <v>46038</v>
      </c>
      <c r="B38" s="15">
        <v>46039.260416666664</v>
      </c>
      <c r="C38" s="16">
        <v>33</v>
      </c>
      <c r="D38" s="16" t="s">
        <v>70</v>
      </c>
      <c r="E38" s="16" t="s">
        <v>11</v>
      </c>
      <c r="F38" s="16" t="s">
        <v>64</v>
      </c>
      <c r="G38" s="16" t="s">
        <v>65</v>
      </c>
      <c r="H38" s="16">
        <v>9</v>
      </c>
      <c r="I38" s="16">
        <v>103</v>
      </c>
      <c r="J38" s="16">
        <v>106</v>
      </c>
      <c r="K38" s="16">
        <v>6.66</v>
      </c>
      <c r="L38" s="16">
        <v>6</v>
      </c>
    </row>
    <row r="39" spans="1:12" ht="14.55" customHeight="1" x14ac:dyDescent="0.3">
      <c r="A39" s="14">
        <v>46038</v>
      </c>
      <c r="B39" s="15">
        <v>46039.258333333331</v>
      </c>
      <c r="C39" s="16">
        <v>9</v>
      </c>
      <c r="D39" s="16" t="s">
        <v>70</v>
      </c>
      <c r="E39" s="16" t="s">
        <v>11</v>
      </c>
      <c r="F39" s="16" t="s">
        <v>50</v>
      </c>
      <c r="G39" s="16" t="s">
        <v>51</v>
      </c>
      <c r="H39" s="16">
        <v>15</v>
      </c>
      <c r="I39" s="16">
        <v>170</v>
      </c>
      <c r="J39" s="16">
        <v>169</v>
      </c>
      <c r="K39" s="16">
        <v>10</v>
      </c>
      <c r="L39" s="16">
        <v>5</v>
      </c>
    </row>
    <row r="40" spans="1:12" ht="14.55" customHeight="1" x14ac:dyDescent="0.3">
      <c r="A40" s="14">
        <v>46038</v>
      </c>
      <c r="B40" s="15">
        <v>46039.257638888892</v>
      </c>
      <c r="C40" s="16">
        <v>37</v>
      </c>
      <c r="D40" s="16" t="s">
        <v>70</v>
      </c>
      <c r="E40" s="16" t="s">
        <v>11</v>
      </c>
      <c r="F40" s="16" t="s">
        <v>52</v>
      </c>
      <c r="G40" s="16" t="s">
        <v>53</v>
      </c>
      <c r="H40" s="16">
        <v>5</v>
      </c>
      <c r="I40" s="16">
        <v>106</v>
      </c>
      <c r="J40" s="16">
        <v>110</v>
      </c>
      <c r="K40" s="16">
        <v>6.66</v>
      </c>
      <c r="L40" s="16">
        <v>2</v>
      </c>
    </row>
    <row r="41" spans="1:12" ht="14.55" customHeight="1" x14ac:dyDescent="0.3">
      <c r="A41" s="14">
        <v>46038</v>
      </c>
      <c r="B41" s="15">
        <v>46039.256944444445</v>
      </c>
      <c r="C41" s="16">
        <v>36</v>
      </c>
      <c r="D41" s="16" t="s">
        <v>70</v>
      </c>
      <c r="E41" s="16" t="s">
        <v>11</v>
      </c>
      <c r="F41" s="16" t="s">
        <v>72</v>
      </c>
      <c r="G41" s="16" t="s">
        <v>51</v>
      </c>
      <c r="H41" s="16">
        <v>15</v>
      </c>
      <c r="I41" s="16">
        <v>170</v>
      </c>
      <c r="J41" s="16">
        <v>173</v>
      </c>
      <c r="K41" s="16">
        <v>6.66</v>
      </c>
      <c r="L41" s="16">
        <v>12</v>
      </c>
    </row>
    <row r="42" spans="1:12" ht="14.55" customHeight="1" x14ac:dyDescent="0.3">
      <c r="A42" s="14">
        <v>46038</v>
      </c>
      <c r="B42" s="15">
        <v>46039.254861111112</v>
      </c>
      <c r="C42" s="16">
        <v>24</v>
      </c>
      <c r="D42" s="16" t="s">
        <v>70</v>
      </c>
      <c r="E42" s="16" t="s">
        <v>11</v>
      </c>
      <c r="F42" s="16" t="s">
        <v>56</v>
      </c>
      <c r="G42" s="16" t="s">
        <v>57</v>
      </c>
      <c r="H42" s="16">
        <v>24</v>
      </c>
      <c r="I42" s="16">
        <v>110</v>
      </c>
      <c r="J42" s="16">
        <v>110</v>
      </c>
      <c r="K42" s="16">
        <v>6.66</v>
      </c>
      <c r="L42" s="16">
        <v>5</v>
      </c>
    </row>
    <row r="43" spans="1:12" ht="14.55" customHeight="1" x14ac:dyDescent="0.3">
      <c r="A43" s="14">
        <v>46038</v>
      </c>
      <c r="B43" s="15">
        <v>46039.254166666666</v>
      </c>
      <c r="C43" s="16">
        <v>34</v>
      </c>
      <c r="D43" s="16" t="s">
        <v>70</v>
      </c>
      <c r="E43" s="16" t="s">
        <v>11</v>
      </c>
      <c r="F43" s="16" t="s">
        <v>71</v>
      </c>
      <c r="G43" s="16" t="s">
        <v>61</v>
      </c>
      <c r="H43" s="16">
        <v>9</v>
      </c>
      <c r="I43" s="16">
        <v>109</v>
      </c>
      <c r="J43" s="16">
        <v>113</v>
      </c>
      <c r="K43" s="16">
        <v>6.66</v>
      </c>
      <c r="L43" s="16">
        <v>2</v>
      </c>
    </row>
    <row r="44" spans="1:12" ht="14.55" customHeight="1" x14ac:dyDescent="0.3">
      <c r="A44" s="14">
        <v>46038</v>
      </c>
      <c r="B44" s="15">
        <v>46039.253472222219</v>
      </c>
      <c r="C44" s="16">
        <v>20</v>
      </c>
      <c r="D44" s="16" t="s">
        <v>70</v>
      </c>
      <c r="E44" s="16" t="s">
        <v>11</v>
      </c>
      <c r="F44" s="16" t="s">
        <v>69</v>
      </c>
      <c r="G44" s="16" t="s">
        <v>51</v>
      </c>
      <c r="H44" s="16">
        <v>15</v>
      </c>
      <c r="I44" s="16">
        <v>170</v>
      </c>
      <c r="J44" s="16">
        <v>173</v>
      </c>
      <c r="K44" s="16">
        <v>10</v>
      </c>
      <c r="L44" s="16">
        <v>15</v>
      </c>
    </row>
    <row r="45" spans="1:12" ht="14.55" customHeight="1" x14ac:dyDescent="0.3">
      <c r="A45" s="14">
        <v>46038</v>
      </c>
      <c r="B45" s="15">
        <v>46039.251388888886</v>
      </c>
      <c r="C45" s="16">
        <v>10</v>
      </c>
      <c r="D45" s="16" t="s">
        <v>70</v>
      </c>
      <c r="E45" s="16" t="s">
        <v>11</v>
      </c>
      <c r="F45" s="16" t="s">
        <v>54</v>
      </c>
      <c r="G45" s="16" t="s">
        <v>55</v>
      </c>
      <c r="H45" s="16">
        <v>2</v>
      </c>
      <c r="I45" s="16">
        <v>110</v>
      </c>
      <c r="J45" s="16">
        <v>109</v>
      </c>
      <c r="K45" s="16">
        <v>6.66</v>
      </c>
      <c r="L45" s="16">
        <v>5</v>
      </c>
    </row>
    <row r="46" spans="1:12" ht="14.55" customHeight="1" x14ac:dyDescent="0.3">
      <c r="A46" s="14">
        <v>46038</v>
      </c>
      <c r="B46" s="15">
        <v>46039.248611111114</v>
      </c>
      <c r="C46" s="16">
        <v>37</v>
      </c>
      <c r="D46" s="16" t="s">
        <v>70</v>
      </c>
      <c r="E46" s="16" t="s">
        <v>11</v>
      </c>
      <c r="F46" s="16" t="s">
        <v>52</v>
      </c>
      <c r="G46" s="16" t="s">
        <v>53</v>
      </c>
      <c r="H46" s="16">
        <v>5</v>
      </c>
      <c r="I46" s="16">
        <v>106</v>
      </c>
      <c r="J46" s="16">
        <v>110</v>
      </c>
      <c r="K46" s="16">
        <v>6.66</v>
      </c>
      <c r="L46" s="16">
        <v>3</v>
      </c>
    </row>
    <row r="47" spans="1:12" ht="14.55" customHeight="1" x14ac:dyDescent="0.3">
      <c r="A47" s="14">
        <v>46038</v>
      </c>
      <c r="B47" s="15">
        <v>46039.246527777781</v>
      </c>
      <c r="C47" s="16">
        <v>26</v>
      </c>
      <c r="D47" s="16" t="s">
        <v>70</v>
      </c>
      <c r="E47" s="16" t="s">
        <v>11</v>
      </c>
      <c r="F47" s="16" t="s">
        <v>50</v>
      </c>
      <c r="G47" s="16" t="s">
        <v>51</v>
      </c>
      <c r="H47" s="16">
        <v>15</v>
      </c>
      <c r="I47" s="16">
        <v>170</v>
      </c>
      <c r="J47" s="16">
        <v>178</v>
      </c>
      <c r="K47" s="16">
        <v>10</v>
      </c>
      <c r="L47" s="16">
        <v>9</v>
      </c>
    </row>
    <row r="48" spans="1:12" ht="14.55" customHeight="1" x14ac:dyDescent="0.3">
      <c r="A48" s="14">
        <v>46038</v>
      </c>
      <c r="B48" s="15">
        <v>46039.244444444441</v>
      </c>
      <c r="C48" s="16">
        <v>36</v>
      </c>
      <c r="D48" s="16" t="s">
        <v>70</v>
      </c>
      <c r="E48" s="16" t="s">
        <v>11</v>
      </c>
      <c r="F48" s="16" t="s">
        <v>72</v>
      </c>
      <c r="G48" s="16" t="s">
        <v>51</v>
      </c>
      <c r="H48" s="16">
        <v>15</v>
      </c>
      <c r="I48" s="16">
        <v>170</v>
      </c>
      <c r="J48" s="16">
        <v>178</v>
      </c>
      <c r="K48" s="16">
        <v>6.66</v>
      </c>
      <c r="L48" s="16">
        <v>8</v>
      </c>
    </row>
    <row r="49" spans="1:12" ht="14.55" customHeight="1" x14ac:dyDescent="0.3">
      <c r="A49" s="14">
        <v>46038</v>
      </c>
      <c r="B49" s="15">
        <v>46039.239583333336</v>
      </c>
      <c r="C49" s="16">
        <v>25</v>
      </c>
      <c r="D49" s="16" t="s">
        <v>70</v>
      </c>
      <c r="E49" s="16" t="s">
        <v>11</v>
      </c>
      <c r="F49" s="16" t="s">
        <v>58</v>
      </c>
      <c r="G49" s="16" t="s">
        <v>59</v>
      </c>
      <c r="H49" s="16">
        <v>4</v>
      </c>
      <c r="I49" s="16">
        <v>104</v>
      </c>
      <c r="J49" s="16">
        <v>110</v>
      </c>
      <c r="K49" s="16">
        <v>6.66</v>
      </c>
      <c r="L49" s="16">
        <v>5</v>
      </c>
    </row>
    <row r="50" spans="1:12" ht="14.55" customHeight="1" x14ac:dyDescent="0.3">
      <c r="A50" s="14">
        <v>46038</v>
      </c>
      <c r="B50" s="15">
        <v>46039.236111111109</v>
      </c>
      <c r="C50" s="16">
        <v>25</v>
      </c>
      <c r="D50" s="16" t="s">
        <v>70</v>
      </c>
      <c r="E50" s="16" t="s">
        <v>11</v>
      </c>
      <c r="F50" s="16" t="s">
        <v>58</v>
      </c>
      <c r="G50" s="16" t="s">
        <v>59</v>
      </c>
      <c r="H50" s="16">
        <v>4</v>
      </c>
      <c r="I50" s="16">
        <v>104</v>
      </c>
      <c r="J50" s="16">
        <v>114</v>
      </c>
      <c r="K50" s="16">
        <v>6.66</v>
      </c>
      <c r="L50" s="16">
        <v>5</v>
      </c>
    </row>
    <row r="51" spans="1:12" ht="14.55" customHeight="1" x14ac:dyDescent="0.3">
      <c r="A51" s="14">
        <v>46038</v>
      </c>
      <c r="B51" s="15">
        <v>46039.231944444444</v>
      </c>
      <c r="C51" s="16">
        <v>37</v>
      </c>
      <c r="D51" s="16" t="s">
        <v>70</v>
      </c>
      <c r="E51" s="16" t="s">
        <v>11</v>
      </c>
      <c r="F51" s="16" t="s">
        <v>52</v>
      </c>
      <c r="G51" s="16" t="s">
        <v>53</v>
      </c>
      <c r="H51" s="16">
        <v>5</v>
      </c>
      <c r="I51" s="16">
        <v>106</v>
      </c>
      <c r="J51" s="16">
        <v>111</v>
      </c>
      <c r="K51" s="16">
        <v>6.66</v>
      </c>
      <c r="L51" s="16">
        <v>3</v>
      </c>
    </row>
    <row r="52" spans="1:12" ht="14.55" customHeight="1" x14ac:dyDescent="0.3">
      <c r="A52" s="14">
        <v>46038</v>
      </c>
      <c r="B52" s="15">
        <v>46039.230555555558</v>
      </c>
      <c r="C52" s="16">
        <v>35</v>
      </c>
      <c r="D52" s="16" t="s">
        <v>70</v>
      </c>
      <c r="E52" s="16" t="s">
        <v>11</v>
      </c>
      <c r="F52" s="16" t="s">
        <v>73</v>
      </c>
      <c r="G52" s="16" t="s">
        <v>63</v>
      </c>
      <c r="H52" s="16">
        <v>14</v>
      </c>
      <c r="I52" s="16">
        <v>109</v>
      </c>
      <c r="J52" s="16">
        <v>127</v>
      </c>
      <c r="K52" s="16">
        <v>6.66</v>
      </c>
      <c r="L52" s="16">
        <v>5</v>
      </c>
    </row>
    <row r="53" spans="1:12" ht="14.55" customHeight="1" x14ac:dyDescent="0.3">
      <c r="A53" s="14">
        <v>46038</v>
      </c>
      <c r="B53" s="15">
        <v>46039.229861111111</v>
      </c>
      <c r="C53" s="16">
        <v>36</v>
      </c>
      <c r="D53" s="16" t="s">
        <v>70</v>
      </c>
      <c r="E53" s="16" t="s">
        <v>11</v>
      </c>
      <c r="F53" s="16" t="s">
        <v>72</v>
      </c>
      <c r="G53" s="16" t="s">
        <v>51</v>
      </c>
      <c r="H53" s="16">
        <v>15</v>
      </c>
      <c r="I53" s="16">
        <v>170</v>
      </c>
      <c r="J53" s="16">
        <v>137</v>
      </c>
      <c r="K53" s="16">
        <v>6.66</v>
      </c>
      <c r="L53" s="16">
        <v>20</v>
      </c>
    </row>
    <row r="54" spans="1:12" ht="14.55" customHeight="1" x14ac:dyDescent="0.3">
      <c r="A54" s="14">
        <v>46038</v>
      </c>
      <c r="B54" s="15">
        <v>46039.227777777778</v>
      </c>
      <c r="C54" s="16">
        <v>38</v>
      </c>
      <c r="D54" s="16" t="s">
        <v>70</v>
      </c>
      <c r="E54" s="16" t="s">
        <v>11</v>
      </c>
      <c r="F54" s="16" t="s">
        <v>76</v>
      </c>
      <c r="G54" s="16" t="s">
        <v>77</v>
      </c>
      <c r="H54" s="16">
        <v>9</v>
      </c>
      <c r="I54" s="16">
        <v>105</v>
      </c>
      <c r="J54" s="16">
        <v>120</v>
      </c>
      <c r="K54" s="16">
        <v>6.66</v>
      </c>
      <c r="L54" s="16">
        <v>4</v>
      </c>
    </row>
    <row r="55" spans="1:12" ht="14.55" customHeight="1" x14ac:dyDescent="0.3">
      <c r="A55" s="14">
        <v>46038</v>
      </c>
      <c r="B55" s="15">
        <v>46039.224999999999</v>
      </c>
      <c r="C55" s="16">
        <v>34</v>
      </c>
      <c r="D55" s="16" t="s">
        <v>70</v>
      </c>
      <c r="E55" s="16" t="s">
        <v>11</v>
      </c>
      <c r="F55" s="16" t="s">
        <v>71</v>
      </c>
      <c r="G55" s="16" t="s">
        <v>61</v>
      </c>
      <c r="H55" s="16">
        <v>9</v>
      </c>
      <c r="I55" s="16">
        <v>109</v>
      </c>
      <c r="J55" s="16">
        <v>112</v>
      </c>
      <c r="K55" s="16">
        <v>6.66</v>
      </c>
      <c r="L55" s="16">
        <v>3</v>
      </c>
    </row>
    <row r="56" spans="1:12" ht="14.55" customHeight="1" x14ac:dyDescent="0.3">
      <c r="A56" s="14">
        <v>46038</v>
      </c>
      <c r="B56" s="15">
        <v>46039.223611111112</v>
      </c>
      <c r="C56" s="16">
        <v>36</v>
      </c>
      <c r="D56" s="16" t="s">
        <v>70</v>
      </c>
      <c r="E56" s="16" t="s">
        <v>11</v>
      </c>
      <c r="F56" s="16" t="s">
        <v>72</v>
      </c>
      <c r="G56" s="16" t="s">
        <v>51</v>
      </c>
      <c r="H56" s="16">
        <v>15</v>
      </c>
      <c r="I56" s="16">
        <v>170</v>
      </c>
      <c r="J56" s="16">
        <v>177</v>
      </c>
      <c r="K56" s="16">
        <v>6.66</v>
      </c>
      <c r="L56" s="16">
        <v>13</v>
      </c>
    </row>
    <row r="57" spans="1:12" ht="14.55" customHeight="1" x14ac:dyDescent="0.3">
      <c r="A57" s="14">
        <v>46038</v>
      </c>
      <c r="B57" s="15">
        <v>46039.22152777778</v>
      </c>
      <c r="C57" s="16">
        <v>38</v>
      </c>
      <c r="D57" s="16" t="s">
        <v>70</v>
      </c>
      <c r="E57" s="16" t="s">
        <v>11</v>
      </c>
      <c r="F57" s="16" t="s">
        <v>76</v>
      </c>
      <c r="G57" s="16" t="s">
        <v>77</v>
      </c>
      <c r="H57" s="16">
        <v>9</v>
      </c>
      <c r="I57" s="16">
        <v>105</v>
      </c>
      <c r="J57" s="16">
        <v>126</v>
      </c>
      <c r="K57" s="16">
        <v>6.66</v>
      </c>
      <c r="L57" s="16">
        <v>3</v>
      </c>
    </row>
    <row r="58" spans="1:12" ht="14.55" customHeight="1" x14ac:dyDescent="0.3">
      <c r="A58" s="14">
        <v>46038</v>
      </c>
      <c r="B58" s="15">
        <v>46039.219444444447</v>
      </c>
      <c r="C58" s="16">
        <v>9</v>
      </c>
      <c r="D58" s="16" t="s">
        <v>70</v>
      </c>
      <c r="E58" s="16" t="s">
        <v>11</v>
      </c>
      <c r="F58" s="16" t="s">
        <v>50</v>
      </c>
      <c r="G58" s="16" t="s">
        <v>51</v>
      </c>
      <c r="H58" s="16">
        <v>15</v>
      </c>
      <c r="I58" s="16">
        <v>170</v>
      </c>
      <c r="J58" s="16">
        <v>178</v>
      </c>
      <c r="K58" s="16">
        <v>10</v>
      </c>
      <c r="L58" s="16">
        <v>5</v>
      </c>
    </row>
    <row r="59" spans="1:12" ht="14.55" customHeight="1" x14ac:dyDescent="0.3">
      <c r="A59" s="14">
        <v>46038</v>
      </c>
      <c r="B59" s="15">
        <v>46039.219444444447</v>
      </c>
      <c r="C59" s="16">
        <v>22</v>
      </c>
      <c r="D59" s="16" t="s">
        <v>70</v>
      </c>
      <c r="E59" s="16" t="s">
        <v>11</v>
      </c>
      <c r="F59" s="16" t="s">
        <v>90</v>
      </c>
      <c r="G59" s="16" t="s">
        <v>91</v>
      </c>
      <c r="H59" s="16">
        <v>2</v>
      </c>
      <c r="I59" s="16">
        <v>90</v>
      </c>
      <c r="J59" s="16">
        <v>100</v>
      </c>
      <c r="K59" s="16">
        <v>6.66</v>
      </c>
      <c r="L59" s="16">
        <v>6</v>
      </c>
    </row>
    <row r="60" spans="1:12" ht="14.55" customHeight="1" x14ac:dyDescent="0.3">
      <c r="A60" s="14">
        <v>46038</v>
      </c>
      <c r="B60" s="15">
        <v>46039.21597222222</v>
      </c>
      <c r="C60" s="16">
        <v>11</v>
      </c>
      <c r="D60" s="16" t="s">
        <v>70</v>
      </c>
      <c r="E60" s="16" t="s">
        <v>11</v>
      </c>
      <c r="F60" s="16" t="s">
        <v>50</v>
      </c>
      <c r="G60" s="16" t="s">
        <v>51</v>
      </c>
      <c r="H60" s="16">
        <v>15</v>
      </c>
      <c r="I60" s="16">
        <v>170</v>
      </c>
      <c r="J60" s="16">
        <v>185</v>
      </c>
      <c r="K60" s="16">
        <v>10</v>
      </c>
      <c r="L60" s="16">
        <v>7</v>
      </c>
    </row>
    <row r="61" spans="1:12" ht="14.55" customHeight="1" x14ac:dyDescent="0.3">
      <c r="A61" s="14">
        <v>46038</v>
      </c>
      <c r="B61" s="15">
        <v>46039.215277777781</v>
      </c>
      <c r="C61" s="16">
        <v>33</v>
      </c>
      <c r="D61" s="16" t="s">
        <v>70</v>
      </c>
      <c r="E61" s="16" t="s">
        <v>11</v>
      </c>
      <c r="F61" s="16" t="s">
        <v>64</v>
      </c>
      <c r="G61" s="16" t="s">
        <v>65</v>
      </c>
      <c r="H61" s="16">
        <v>9</v>
      </c>
      <c r="I61" s="16">
        <v>103</v>
      </c>
      <c r="J61" s="16">
        <v>112</v>
      </c>
      <c r="K61" s="16">
        <v>6.66</v>
      </c>
      <c r="L61" s="16">
        <v>6</v>
      </c>
    </row>
    <row r="62" spans="1:12" ht="14.55" customHeight="1" x14ac:dyDescent="0.3">
      <c r="A62" s="14">
        <v>46038</v>
      </c>
      <c r="B62" s="15">
        <v>46039.213888888888</v>
      </c>
      <c r="C62" s="16">
        <v>20</v>
      </c>
      <c r="D62" s="16" t="s">
        <v>70</v>
      </c>
      <c r="E62" s="16" t="s">
        <v>11</v>
      </c>
      <c r="F62" s="16" t="s">
        <v>69</v>
      </c>
      <c r="G62" s="16" t="s">
        <v>51</v>
      </c>
      <c r="H62" s="16">
        <v>15</v>
      </c>
      <c r="I62" s="16">
        <v>170</v>
      </c>
      <c r="J62" s="16">
        <v>164</v>
      </c>
      <c r="K62" s="16">
        <v>10</v>
      </c>
      <c r="L62" s="16">
        <v>8</v>
      </c>
    </row>
    <row r="63" spans="1:12" ht="14.55" customHeight="1" x14ac:dyDescent="0.3">
      <c r="A63" s="14">
        <v>46038</v>
      </c>
      <c r="B63" s="15">
        <v>46039.212500000001</v>
      </c>
      <c r="C63" s="16">
        <v>34</v>
      </c>
      <c r="D63" s="16" t="s">
        <v>70</v>
      </c>
      <c r="E63" s="16" t="s">
        <v>11</v>
      </c>
      <c r="F63" s="16" t="s">
        <v>71</v>
      </c>
      <c r="G63" s="16" t="s">
        <v>61</v>
      </c>
      <c r="H63" s="16">
        <v>9</v>
      </c>
      <c r="I63" s="16">
        <v>109</v>
      </c>
      <c r="J63" s="16">
        <v>115</v>
      </c>
      <c r="K63" s="16">
        <v>6.66</v>
      </c>
      <c r="L63" s="16">
        <v>5</v>
      </c>
    </row>
    <row r="64" spans="1:12" ht="14.55" customHeight="1" x14ac:dyDescent="0.3">
      <c r="A64" s="14">
        <v>46038</v>
      </c>
      <c r="B64" s="15">
        <v>46039.211805555555</v>
      </c>
      <c r="C64" s="16">
        <v>31</v>
      </c>
      <c r="D64" s="16" t="s">
        <v>70</v>
      </c>
      <c r="E64" s="16" t="s">
        <v>11</v>
      </c>
      <c r="F64" s="16" t="s">
        <v>92</v>
      </c>
      <c r="G64" s="16" t="s">
        <v>93</v>
      </c>
      <c r="H64" s="16">
        <v>2</v>
      </c>
      <c r="I64" s="16">
        <v>95</v>
      </c>
      <c r="J64" s="16">
        <v>125</v>
      </c>
      <c r="K64" s="16">
        <v>6.66</v>
      </c>
      <c r="L64" s="16">
        <v>9</v>
      </c>
    </row>
    <row r="65" spans="1:12" ht="14.55" customHeight="1" x14ac:dyDescent="0.3">
      <c r="A65" s="14">
        <v>46038</v>
      </c>
      <c r="B65" s="15">
        <v>46039.211805555555</v>
      </c>
      <c r="C65" s="16">
        <v>10</v>
      </c>
      <c r="D65" s="16" t="s">
        <v>70</v>
      </c>
      <c r="E65" s="16" t="s">
        <v>11</v>
      </c>
      <c r="F65" s="16" t="s">
        <v>54</v>
      </c>
      <c r="G65" s="16" t="s">
        <v>55</v>
      </c>
      <c r="H65" s="16">
        <v>2</v>
      </c>
      <c r="I65" s="16">
        <v>110</v>
      </c>
      <c r="J65" s="16">
        <v>111</v>
      </c>
      <c r="K65" s="16">
        <v>6.66</v>
      </c>
      <c r="L65" s="16">
        <v>4</v>
      </c>
    </row>
    <row r="66" spans="1:12" ht="14.55" customHeight="1" x14ac:dyDescent="0.3">
      <c r="A66" s="14">
        <v>46038</v>
      </c>
      <c r="B66" s="15">
        <v>46039.210416666669</v>
      </c>
      <c r="C66" s="16">
        <v>24</v>
      </c>
      <c r="D66" s="16" t="s">
        <v>70</v>
      </c>
      <c r="E66" s="16" t="s">
        <v>11</v>
      </c>
      <c r="F66" s="16" t="s">
        <v>56</v>
      </c>
      <c r="G66" s="16" t="s">
        <v>57</v>
      </c>
      <c r="H66" s="16">
        <v>24</v>
      </c>
      <c r="I66" s="16">
        <v>110</v>
      </c>
      <c r="J66" s="16">
        <v>113</v>
      </c>
      <c r="K66" s="16">
        <v>6.66</v>
      </c>
      <c r="L66" s="16">
        <v>8</v>
      </c>
    </row>
    <row r="67" spans="1:12" ht="14.55" customHeight="1" x14ac:dyDescent="0.3">
      <c r="A67" s="14">
        <v>46038</v>
      </c>
      <c r="B67" s="15">
        <v>46039.209027777775</v>
      </c>
      <c r="C67" s="16">
        <v>31</v>
      </c>
      <c r="D67" s="16" t="s">
        <v>70</v>
      </c>
      <c r="E67" s="16" t="s">
        <v>11</v>
      </c>
      <c r="F67" s="16" t="s">
        <v>92</v>
      </c>
      <c r="G67" s="16" t="s">
        <v>93</v>
      </c>
      <c r="H67" s="16">
        <v>2</v>
      </c>
      <c r="I67" s="16">
        <v>95</v>
      </c>
      <c r="J67" s="16">
        <v>105</v>
      </c>
      <c r="K67" s="16">
        <v>6.66</v>
      </c>
      <c r="L67" s="16">
        <v>6</v>
      </c>
    </row>
    <row r="68" spans="1:12" ht="14.55" customHeight="1" x14ac:dyDescent="0.3">
      <c r="A68" s="14">
        <v>46038</v>
      </c>
      <c r="B68" s="15">
        <v>46039.207638888889</v>
      </c>
      <c r="C68" s="16">
        <v>10</v>
      </c>
      <c r="D68" s="16" t="s">
        <v>70</v>
      </c>
      <c r="E68" s="16" t="s">
        <v>11</v>
      </c>
      <c r="F68" s="16" t="s">
        <v>54</v>
      </c>
      <c r="G68" s="16" t="s">
        <v>55</v>
      </c>
      <c r="H68" s="16">
        <v>2</v>
      </c>
      <c r="I68" s="16">
        <v>110</v>
      </c>
      <c r="J68" s="16">
        <v>110</v>
      </c>
      <c r="K68" s="16">
        <v>6.66</v>
      </c>
      <c r="L68" s="16">
        <v>2</v>
      </c>
    </row>
    <row r="69" spans="1:12" ht="14.55" customHeight="1" x14ac:dyDescent="0.3">
      <c r="A69" s="14">
        <v>46038</v>
      </c>
      <c r="B69" s="15">
        <v>46039.20416666667</v>
      </c>
      <c r="C69" s="16">
        <v>31</v>
      </c>
      <c r="D69" s="16" t="s">
        <v>70</v>
      </c>
      <c r="E69" s="16" t="s">
        <v>11</v>
      </c>
      <c r="F69" s="16" t="s">
        <v>92</v>
      </c>
      <c r="G69" s="16" t="s">
        <v>93</v>
      </c>
      <c r="H69" s="16">
        <v>2</v>
      </c>
      <c r="I69" s="16">
        <v>95</v>
      </c>
      <c r="J69" s="16">
        <v>124</v>
      </c>
      <c r="K69" s="16">
        <v>6.66</v>
      </c>
      <c r="L69" s="16">
        <v>18</v>
      </c>
    </row>
    <row r="70" spans="1:12" ht="14.55" customHeight="1" x14ac:dyDescent="0.3">
      <c r="A70" s="14">
        <v>46038</v>
      </c>
      <c r="B70" s="15">
        <v>46039.203472222223</v>
      </c>
      <c r="C70" s="16">
        <v>37</v>
      </c>
      <c r="D70" s="16" t="s">
        <v>70</v>
      </c>
      <c r="E70" s="16" t="s">
        <v>11</v>
      </c>
      <c r="F70" s="16" t="s">
        <v>52</v>
      </c>
      <c r="G70" s="16" t="s">
        <v>53</v>
      </c>
      <c r="H70" s="16">
        <v>5</v>
      </c>
      <c r="I70" s="16">
        <v>106</v>
      </c>
      <c r="J70" s="16">
        <v>110</v>
      </c>
      <c r="K70" s="16">
        <v>6.66</v>
      </c>
      <c r="L70" s="16">
        <v>3</v>
      </c>
    </row>
    <row r="71" spans="1:12" ht="14.55" customHeight="1" x14ac:dyDescent="0.3">
      <c r="A71" s="14">
        <v>46038</v>
      </c>
      <c r="B71" s="15">
        <v>46039.197222222225</v>
      </c>
      <c r="C71" s="16">
        <v>37</v>
      </c>
      <c r="D71" s="16" t="s">
        <v>70</v>
      </c>
      <c r="E71" s="16" t="s">
        <v>11</v>
      </c>
      <c r="F71" s="16" t="s">
        <v>52</v>
      </c>
      <c r="G71" s="16" t="s">
        <v>53</v>
      </c>
      <c r="H71" s="16">
        <v>5</v>
      </c>
      <c r="I71" s="16">
        <v>106</v>
      </c>
      <c r="J71" s="16">
        <v>109</v>
      </c>
      <c r="K71" s="16">
        <v>6.66</v>
      </c>
      <c r="L71" s="16">
        <v>3</v>
      </c>
    </row>
    <row r="72" spans="1:12" ht="14.55" customHeight="1" x14ac:dyDescent="0.3">
      <c r="A72" s="14">
        <v>46038</v>
      </c>
      <c r="B72" s="15">
        <v>46039.193749999999</v>
      </c>
      <c r="C72" s="16">
        <v>35</v>
      </c>
      <c r="D72" s="16" t="s">
        <v>70</v>
      </c>
      <c r="E72" s="16" t="s">
        <v>11</v>
      </c>
      <c r="F72" s="16" t="s">
        <v>73</v>
      </c>
      <c r="G72" s="16" t="s">
        <v>63</v>
      </c>
      <c r="H72" s="16">
        <v>14</v>
      </c>
      <c r="I72" s="16">
        <v>109</v>
      </c>
      <c r="J72" s="16">
        <v>117</v>
      </c>
      <c r="K72" s="16">
        <v>6.66</v>
      </c>
      <c r="L72" s="16">
        <v>5</v>
      </c>
    </row>
    <row r="73" spans="1:12" ht="14.55" customHeight="1" x14ac:dyDescent="0.3">
      <c r="A73" s="14">
        <v>46038</v>
      </c>
      <c r="B73" s="15">
        <v>46039.192361111112</v>
      </c>
      <c r="C73" s="16">
        <v>22</v>
      </c>
      <c r="D73" s="16" t="s">
        <v>70</v>
      </c>
      <c r="E73" s="16" t="s">
        <v>11</v>
      </c>
      <c r="F73" s="16" t="s">
        <v>90</v>
      </c>
      <c r="G73" s="16" t="s">
        <v>91</v>
      </c>
      <c r="H73" s="16">
        <v>2</v>
      </c>
      <c r="I73" s="16">
        <v>90</v>
      </c>
      <c r="J73" s="16">
        <v>99</v>
      </c>
      <c r="K73" s="16">
        <v>6.66</v>
      </c>
      <c r="L73" s="16">
        <v>10</v>
      </c>
    </row>
    <row r="74" spans="1:12" ht="14.55" customHeight="1" x14ac:dyDescent="0.3">
      <c r="A74" s="14">
        <v>46038</v>
      </c>
      <c r="B74" s="15">
        <v>46039.19027777778</v>
      </c>
      <c r="C74" s="16">
        <v>36</v>
      </c>
      <c r="D74" s="16" t="s">
        <v>70</v>
      </c>
      <c r="E74" s="16" t="s">
        <v>11</v>
      </c>
      <c r="F74" s="16" t="s">
        <v>72</v>
      </c>
      <c r="G74" s="16" t="s">
        <v>51</v>
      </c>
      <c r="H74" s="16">
        <v>15</v>
      </c>
      <c r="I74" s="16">
        <v>170</v>
      </c>
      <c r="J74" s="16">
        <v>183</v>
      </c>
      <c r="K74" s="16">
        <v>6.66</v>
      </c>
      <c r="L74" s="16">
        <v>11</v>
      </c>
    </row>
    <row r="75" spans="1:12" ht="14.55" customHeight="1" x14ac:dyDescent="0.3">
      <c r="A75" s="14">
        <v>46038</v>
      </c>
      <c r="B75" s="15">
        <v>46039.18472222222</v>
      </c>
      <c r="C75" s="16">
        <v>22</v>
      </c>
      <c r="D75" s="16" t="s">
        <v>70</v>
      </c>
      <c r="E75" s="16" t="s">
        <v>11</v>
      </c>
      <c r="F75" s="16" t="s">
        <v>90</v>
      </c>
      <c r="G75" s="16" t="s">
        <v>91</v>
      </c>
      <c r="H75" s="16">
        <v>2</v>
      </c>
      <c r="I75" s="16">
        <v>90</v>
      </c>
      <c r="J75" s="16">
        <v>101</v>
      </c>
      <c r="K75" s="16">
        <v>6.66</v>
      </c>
      <c r="L75" s="16">
        <v>11</v>
      </c>
    </row>
    <row r="76" spans="1:12" ht="14.55" customHeight="1" x14ac:dyDescent="0.3">
      <c r="A76" s="14">
        <v>46038</v>
      </c>
      <c r="B76" s="15">
        <v>46039.182638888888</v>
      </c>
      <c r="C76" s="16">
        <v>9</v>
      </c>
      <c r="D76" s="16" t="s">
        <v>70</v>
      </c>
      <c r="E76" s="16" t="s">
        <v>11</v>
      </c>
      <c r="F76" s="16" t="s">
        <v>50</v>
      </c>
      <c r="G76" s="16" t="s">
        <v>51</v>
      </c>
      <c r="H76" s="16">
        <v>15</v>
      </c>
      <c r="I76" s="16">
        <v>170</v>
      </c>
      <c r="J76" s="16">
        <v>172</v>
      </c>
      <c r="K76" s="16">
        <v>10</v>
      </c>
      <c r="L76" s="16">
        <v>5</v>
      </c>
    </row>
    <row r="77" spans="1:12" ht="14.55" customHeight="1" x14ac:dyDescent="0.3">
      <c r="A77" s="14">
        <v>46038</v>
      </c>
      <c r="B77" s="15">
        <v>46039.181250000001</v>
      </c>
      <c r="C77" s="16">
        <v>9</v>
      </c>
      <c r="D77" s="16" t="s">
        <v>70</v>
      </c>
      <c r="E77" s="16" t="s">
        <v>11</v>
      </c>
      <c r="F77" s="16" t="s">
        <v>50</v>
      </c>
      <c r="G77" s="16" t="s">
        <v>51</v>
      </c>
      <c r="H77" s="16">
        <v>15</v>
      </c>
      <c r="I77" s="16">
        <v>170</v>
      </c>
      <c r="J77" s="16">
        <v>173</v>
      </c>
      <c r="K77" s="16">
        <v>10</v>
      </c>
      <c r="L77" s="16">
        <v>4</v>
      </c>
    </row>
    <row r="78" spans="1:12" ht="14.55" customHeight="1" x14ac:dyDescent="0.3">
      <c r="A78" s="14">
        <v>46038</v>
      </c>
      <c r="B78" s="15">
        <v>46039.179861111108</v>
      </c>
      <c r="C78" s="16">
        <v>36</v>
      </c>
      <c r="D78" s="16" t="s">
        <v>70</v>
      </c>
      <c r="E78" s="16" t="s">
        <v>11</v>
      </c>
      <c r="F78" s="16" t="s">
        <v>72</v>
      </c>
      <c r="G78" s="16" t="s">
        <v>51</v>
      </c>
      <c r="H78" s="16">
        <v>15</v>
      </c>
      <c r="I78" s="16">
        <v>170</v>
      </c>
      <c r="J78" s="16">
        <v>185</v>
      </c>
      <c r="K78" s="16">
        <v>6.66</v>
      </c>
      <c r="L78" s="16">
        <v>11</v>
      </c>
    </row>
    <row r="79" spans="1:12" ht="14.55" customHeight="1" x14ac:dyDescent="0.3">
      <c r="A79" s="14">
        <v>46038</v>
      </c>
      <c r="B79" s="15">
        <v>46039.177777777775</v>
      </c>
      <c r="C79" s="16">
        <v>24</v>
      </c>
      <c r="D79" s="16" t="s">
        <v>70</v>
      </c>
      <c r="E79" s="16" t="s">
        <v>11</v>
      </c>
      <c r="F79" s="16" t="s">
        <v>56</v>
      </c>
      <c r="G79" s="16" t="s">
        <v>57</v>
      </c>
      <c r="H79" s="16">
        <v>24</v>
      </c>
      <c r="I79" s="16">
        <v>110</v>
      </c>
      <c r="J79" s="16">
        <v>117</v>
      </c>
      <c r="K79" s="16">
        <v>6.66</v>
      </c>
      <c r="L79" s="16">
        <v>6</v>
      </c>
    </row>
    <row r="80" spans="1:12" ht="14.55" customHeight="1" x14ac:dyDescent="0.3">
      <c r="A80" s="14">
        <v>46038</v>
      </c>
      <c r="B80" s="15">
        <v>46039.177083333336</v>
      </c>
      <c r="C80" s="16">
        <v>20</v>
      </c>
      <c r="D80" s="16" t="s">
        <v>70</v>
      </c>
      <c r="E80" s="16" t="s">
        <v>11</v>
      </c>
      <c r="F80" s="16" t="s">
        <v>69</v>
      </c>
      <c r="G80" s="16" t="s">
        <v>51</v>
      </c>
      <c r="H80" s="16">
        <v>15</v>
      </c>
      <c r="I80" s="16">
        <v>170</v>
      </c>
      <c r="J80" s="16">
        <v>179</v>
      </c>
      <c r="K80" s="16">
        <v>10</v>
      </c>
      <c r="L80" s="16">
        <v>8</v>
      </c>
    </row>
    <row r="81" spans="1:12" ht="14.55" customHeight="1" x14ac:dyDescent="0.3">
      <c r="A81" s="14">
        <v>46038</v>
      </c>
      <c r="B81" s="15">
        <v>46039.175694444442</v>
      </c>
      <c r="C81" s="16">
        <v>20</v>
      </c>
      <c r="D81" s="16" t="s">
        <v>70</v>
      </c>
      <c r="E81" s="16" t="s">
        <v>11</v>
      </c>
      <c r="F81" s="16" t="s">
        <v>69</v>
      </c>
      <c r="G81" s="16" t="s">
        <v>51</v>
      </c>
      <c r="H81" s="16">
        <v>15</v>
      </c>
      <c r="I81" s="16">
        <v>170</v>
      </c>
      <c r="J81" s="16">
        <v>179</v>
      </c>
      <c r="K81" s="16">
        <v>10</v>
      </c>
      <c r="L81" s="16">
        <v>4</v>
      </c>
    </row>
    <row r="82" spans="1:12" ht="14.55" customHeight="1" x14ac:dyDescent="0.3">
      <c r="A82" s="14">
        <v>46038</v>
      </c>
      <c r="B82" s="15">
        <v>46039.175694444442</v>
      </c>
      <c r="C82" s="16">
        <v>9</v>
      </c>
      <c r="D82" s="16" t="s">
        <v>70</v>
      </c>
      <c r="E82" s="16" t="s">
        <v>11</v>
      </c>
      <c r="F82" s="16" t="s">
        <v>50</v>
      </c>
      <c r="G82" s="16" t="s">
        <v>51</v>
      </c>
      <c r="H82" s="16">
        <v>15</v>
      </c>
      <c r="I82" s="16">
        <v>170</v>
      </c>
      <c r="J82" s="16">
        <v>175</v>
      </c>
      <c r="K82" s="16">
        <v>10</v>
      </c>
      <c r="L82" s="16">
        <v>13</v>
      </c>
    </row>
    <row r="83" spans="1:12" ht="14.55" customHeight="1" x14ac:dyDescent="0.3">
      <c r="A83" s="14">
        <v>46038</v>
      </c>
      <c r="B83" s="15">
        <v>46039.175000000003</v>
      </c>
      <c r="C83" s="16">
        <v>33</v>
      </c>
      <c r="D83" s="16" t="s">
        <v>70</v>
      </c>
      <c r="E83" s="16" t="s">
        <v>11</v>
      </c>
      <c r="F83" s="16" t="s">
        <v>64</v>
      </c>
      <c r="G83" s="16" t="s">
        <v>65</v>
      </c>
      <c r="H83" s="16">
        <v>9</v>
      </c>
      <c r="I83" s="16">
        <v>103</v>
      </c>
      <c r="J83" s="16">
        <v>104</v>
      </c>
      <c r="K83" s="16">
        <v>6.66</v>
      </c>
      <c r="L83" s="16">
        <v>5</v>
      </c>
    </row>
    <row r="84" spans="1:12" ht="14.55" customHeight="1" x14ac:dyDescent="0.3">
      <c r="A84" s="14">
        <v>46038</v>
      </c>
      <c r="B84" s="15">
        <v>46039.174305555556</v>
      </c>
      <c r="C84" s="16">
        <v>9</v>
      </c>
      <c r="D84" s="16" t="s">
        <v>70</v>
      </c>
      <c r="E84" s="16" t="s">
        <v>11</v>
      </c>
      <c r="F84" s="16" t="s">
        <v>50</v>
      </c>
      <c r="G84" s="16" t="s">
        <v>51</v>
      </c>
      <c r="H84" s="16">
        <v>15</v>
      </c>
      <c r="I84" s="16">
        <v>170</v>
      </c>
      <c r="J84" s="16">
        <v>173</v>
      </c>
      <c r="K84" s="16">
        <v>10</v>
      </c>
      <c r="L84" s="16">
        <v>17</v>
      </c>
    </row>
    <row r="85" spans="1:12" ht="14.55" customHeight="1" x14ac:dyDescent="0.3">
      <c r="A85" s="14">
        <v>46038</v>
      </c>
      <c r="B85" s="15">
        <v>46039.173611111109</v>
      </c>
      <c r="C85" s="16">
        <v>36</v>
      </c>
      <c r="D85" s="16" t="s">
        <v>70</v>
      </c>
      <c r="E85" s="16" t="s">
        <v>11</v>
      </c>
      <c r="F85" s="16" t="s">
        <v>72</v>
      </c>
      <c r="G85" s="16" t="s">
        <v>51</v>
      </c>
      <c r="H85" s="16">
        <v>15</v>
      </c>
      <c r="I85" s="16">
        <v>170</v>
      </c>
      <c r="J85" s="16">
        <v>186</v>
      </c>
      <c r="K85" s="16">
        <v>6.66</v>
      </c>
      <c r="L85" s="16">
        <v>6</v>
      </c>
    </row>
    <row r="86" spans="1:12" ht="14.55" customHeight="1" x14ac:dyDescent="0.3">
      <c r="A86" s="14">
        <v>46038</v>
      </c>
      <c r="B86" s="15">
        <v>46039.172222222223</v>
      </c>
      <c r="C86" s="16">
        <v>34</v>
      </c>
      <c r="D86" s="16" t="s">
        <v>70</v>
      </c>
      <c r="E86" s="16" t="s">
        <v>11</v>
      </c>
      <c r="F86" s="16" t="s">
        <v>71</v>
      </c>
      <c r="G86" s="16" t="s">
        <v>61</v>
      </c>
      <c r="H86" s="16">
        <v>9</v>
      </c>
      <c r="I86" s="16">
        <v>109</v>
      </c>
      <c r="J86" s="16">
        <v>110</v>
      </c>
      <c r="K86" s="16">
        <v>6.66</v>
      </c>
      <c r="L86" s="16">
        <v>3</v>
      </c>
    </row>
    <row r="87" spans="1:12" ht="14.55" customHeight="1" x14ac:dyDescent="0.3">
      <c r="A87" s="14">
        <v>46038</v>
      </c>
      <c r="B87" s="15">
        <v>46039.171527777777</v>
      </c>
      <c r="C87" s="16">
        <v>38</v>
      </c>
      <c r="D87" s="16" t="s">
        <v>70</v>
      </c>
      <c r="E87" s="16" t="s">
        <v>11</v>
      </c>
      <c r="F87" s="16" t="s">
        <v>76</v>
      </c>
      <c r="G87" s="16" t="s">
        <v>77</v>
      </c>
      <c r="H87" s="16">
        <v>9</v>
      </c>
      <c r="I87" s="16">
        <v>105</v>
      </c>
      <c r="J87" s="16">
        <v>123</v>
      </c>
      <c r="K87" s="16">
        <v>6.66</v>
      </c>
      <c r="L87" s="16">
        <v>4</v>
      </c>
    </row>
    <row r="88" spans="1:12" ht="14.55" customHeight="1" x14ac:dyDescent="0.3">
      <c r="A88" s="14">
        <v>46038</v>
      </c>
      <c r="B88" s="15">
        <v>46039.170138888891</v>
      </c>
      <c r="C88" s="16">
        <v>26</v>
      </c>
      <c r="D88" s="16" t="s">
        <v>70</v>
      </c>
      <c r="E88" s="16" t="s">
        <v>11</v>
      </c>
      <c r="F88" s="16" t="s">
        <v>50</v>
      </c>
      <c r="G88" s="16" t="s">
        <v>51</v>
      </c>
      <c r="H88" s="16">
        <v>15</v>
      </c>
      <c r="I88" s="16">
        <v>170</v>
      </c>
      <c r="J88" s="16">
        <v>176</v>
      </c>
      <c r="K88" s="16">
        <v>10</v>
      </c>
      <c r="L88" s="16">
        <v>8</v>
      </c>
    </row>
    <row r="89" spans="1:12" ht="14.55" customHeight="1" x14ac:dyDescent="0.3">
      <c r="A89" s="14">
        <v>46038</v>
      </c>
      <c r="B89" s="15">
        <v>46039.170138888891</v>
      </c>
      <c r="C89" s="16">
        <v>38</v>
      </c>
      <c r="D89" s="16" t="s">
        <v>70</v>
      </c>
      <c r="E89" s="16" t="s">
        <v>11</v>
      </c>
      <c r="F89" s="16" t="s">
        <v>76</v>
      </c>
      <c r="G89" s="16" t="s">
        <v>77</v>
      </c>
      <c r="H89" s="16">
        <v>9</v>
      </c>
      <c r="I89" s="16">
        <v>105</v>
      </c>
      <c r="J89" s="16">
        <v>121</v>
      </c>
      <c r="K89" s="16">
        <v>6.66</v>
      </c>
      <c r="L89" s="16">
        <v>5</v>
      </c>
    </row>
    <row r="90" spans="1:12" ht="14.55" customHeight="1" x14ac:dyDescent="0.3">
      <c r="A90" s="14">
        <v>46038</v>
      </c>
      <c r="B90" s="15">
        <v>46039.168055555558</v>
      </c>
      <c r="C90" s="16">
        <v>10</v>
      </c>
      <c r="D90" s="16" t="s">
        <v>70</v>
      </c>
      <c r="E90" s="16" t="s">
        <v>11</v>
      </c>
      <c r="F90" s="16" t="s">
        <v>54</v>
      </c>
      <c r="G90" s="16" t="s">
        <v>55</v>
      </c>
      <c r="H90" s="16">
        <v>2</v>
      </c>
      <c r="I90" s="16">
        <v>110</v>
      </c>
      <c r="J90" s="16">
        <v>113</v>
      </c>
      <c r="K90" s="16">
        <v>6.66</v>
      </c>
      <c r="L90" s="16">
        <v>6</v>
      </c>
    </row>
    <row r="91" spans="1:12" ht="14.55" customHeight="1" x14ac:dyDescent="0.3">
      <c r="A91" s="14">
        <v>46038</v>
      </c>
      <c r="B91" s="15">
        <v>46039.165972222225</v>
      </c>
      <c r="C91" s="16">
        <v>38</v>
      </c>
      <c r="D91" s="16" t="s">
        <v>70</v>
      </c>
      <c r="E91" s="16" t="s">
        <v>11</v>
      </c>
      <c r="F91" s="16" t="s">
        <v>76</v>
      </c>
      <c r="G91" s="16" t="s">
        <v>77</v>
      </c>
      <c r="H91" s="16">
        <v>9</v>
      </c>
      <c r="I91" s="16">
        <v>105</v>
      </c>
      <c r="J91" s="16">
        <v>120</v>
      </c>
      <c r="K91" s="16">
        <v>6.66</v>
      </c>
      <c r="L91" s="16">
        <v>3</v>
      </c>
    </row>
    <row r="92" spans="1:12" ht="14.55" customHeight="1" x14ac:dyDescent="0.3">
      <c r="A92" s="14">
        <v>46038</v>
      </c>
      <c r="B92" s="15">
        <v>46039.162499999999</v>
      </c>
      <c r="C92" s="16">
        <v>38</v>
      </c>
      <c r="D92" s="16" t="s">
        <v>70</v>
      </c>
      <c r="E92" s="16" t="s">
        <v>11</v>
      </c>
      <c r="F92" s="16" t="s">
        <v>76</v>
      </c>
      <c r="G92" s="16" t="s">
        <v>77</v>
      </c>
      <c r="H92" s="16">
        <v>9</v>
      </c>
      <c r="I92" s="16">
        <v>105</v>
      </c>
      <c r="J92" s="16">
        <v>116</v>
      </c>
      <c r="K92" s="16">
        <v>6.66</v>
      </c>
      <c r="L92" s="16">
        <v>4</v>
      </c>
    </row>
    <row r="93" spans="1:12" ht="14.55" customHeight="1" x14ac:dyDescent="0.3">
      <c r="A93" s="14">
        <v>46038</v>
      </c>
      <c r="B93" s="15">
        <v>46039.158333333333</v>
      </c>
      <c r="C93" s="16">
        <v>26</v>
      </c>
      <c r="D93" s="16" t="s">
        <v>70</v>
      </c>
      <c r="E93" s="16" t="s">
        <v>11</v>
      </c>
      <c r="F93" s="16" t="s">
        <v>50</v>
      </c>
      <c r="G93" s="16" t="s">
        <v>51</v>
      </c>
      <c r="H93" s="16">
        <v>15</v>
      </c>
      <c r="I93" s="16">
        <v>170</v>
      </c>
      <c r="J93" s="16">
        <v>169</v>
      </c>
      <c r="K93" s="16">
        <v>10</v>
      </c>
      <c r="L93" s="16">
        <v>7</v>
      </c>
    </row>
    <row r="94" spans="1:12" ht="14.55" customHeight="1" x14ac:dyDescent="0.3">
      <c r="A94" s="14">
        <v>46038</v>
      </c>
      <c r="B94" s="15">
        <v>46039.149305555555</v>
      </c>
      <c r="C94" s="16">
        <v>26</v>
      </c>
      <c r="D94" s="16" t="s">
        <v>70</v>
      </c>
      <c r="E94" s="16" t="s">
        <v>11</v>
      </c>
      <c r="F94" s="16" t="s">
        <v>50</v>
      </c>
      <c r="G94" s="16" t="s">
        <v>51</v>
      </c>
      <c r="H94" s="16">
        <v>15</v>
      </c>
      <c r="I94" s="16">
        <v>170</v>
      </c>
      <c r="J94" s="16">
        <v>173</v>
      </c>
      <c r="K94" s="16">
        <v>10</v>
      </c>
      <c r="L94" s="16">
        <v>7</v>
      </c>
    </row>
    <row r="95" spans="1:12" ht="14.55" customHeight="1" x14ac:dyDescent="0.3">
      <c r="A95" s="14">
        <v>46038</v>
      </c>
      <c r="B95" s="15">
        <v>46039.145138888889</v>
      </c>
      <c r="C95" s="16">
        <v>37</v>
      </c>
      <c r="D95" s="16" t="s">
        <v>70</v>
      </c>
      <c r="E95" s="16" t="s">
        <v>11</v>
      </c>
      <c r="F95" s="16" t="s">
        <v>52</v>
      </c>
      <c r="G95" s="16" t="s">
        <v>53</v>
      </c>
      <c r="H95" s="16">
        <v>5</v>
      </c>
      <c r="I95" s="16">
        <v>106</v>
      </c>
      <c r="J95" s="16">
        <v>106</v>
      </c>
      <c r="K95" s="16">
        <v>6.66</v>
      </c>
      <c r="L95" s="16">
        <v>3</v>
      </c>
    </row>
    <row r="96" spans="1:12" ht="14.55" customHeight="1" x14ac:dyDescent="0.3">
      <c r="A96" s="14">
        <v>46038</v>
      </c>
      <c r="B96" s="15">
        <v>46039.142361111109</v>
      </c>
      <c r="C96" s="16">
        <v>34</v>
      </c>
      <c r="D96" s="16" t="s">
        <v>70</v>
      </c>
      <c r="E96" s="16" t="s">
        <v>11</v>
      </c>
      <c r="F96" s="16" t="s">
        <v>71</v>
      </c>
      <c r="G96" s="16" t="s">
        <v>61</v>
      </c>
      <c r="H96" s="16">
        <v>9</v>
      </c>
      <c r="I96" s="16">
        <v>109</v>
      </c>
      <c r="J96" s="16">
        <v>109</v>
      </c>
      <c r="K96" s="16">
        <v>6.66</v>
      </c>
      <c r="L96" s="16">
        <v>2</v>
      </c>
    </row>
    <row r="97" spans="1:12" ht="14.55" customHeight="1" x14ac:dyDescent="0.3">
      <c r="A97" s="14">
        <v>46038</v>
      </c>
      <c r="B97" s="15">
        <v>46039.13958333333</v>
      </c>
      <c r="C97" s="16">
        <v>24</v>
      </c>
      <c r="D97" s="16" t="s">
        <v>70</v>
      </c>
      <c r="E97" s="16" t="s">
        <v>11</v>
      </c>
      <c r="F97" s="16" t="s">
        <v>56</v>
      </c>
      <c r="G97" s="16" t="s">
        <v>57</v>
      </c>
      <c r="H97" s="16">
        <v>24</v>
      </c>
      <c r="I97" s="16">
        <v>110</v>
      </c>
      <c r="J97" s="16">
        <v>122</v>
      </c>
      <c r="K97" s="16">
        <v>6.66</v>
      </c>
      <c r="L97" s="16">
        <v>6</v>
      </c>
    </row>
    <row r="98" spans="1:12" ht="14.55" customHeight="1" x14ac:dyDescent="0.3">
      <c r="A98" s="14">
        <v>46038</v>
      </c>
      <c r="B98" s="15">
        <v>46039.138194444444</v>
      </c>
      <c r="C98" s="16">
        <v>34</v>
      </c>
      <c r="D98" s="16" t="s">
        <v>70</v>
      </c>
      <c r="E98" s="16" t="s">
        <v>11</v>
      </c>
      <c r="F98" s="16" t="s">
        <v>71</v>
      </c>
      <c r="G98" s="16" t="s">
        <v>61</v>
      </c>
      <c r="H98" s="16">
        <v>9</v>
      </c>
      <c r="I98" s="16">
        <v>109</v>
      </c>
      <c r="J98" s="16">
        <v>113</v>
      </c>
      <c r="K98" s="16">
        <v>6.66</v>
      </c>
      <c r="L98" s="16">
        <v>4</v>
      </c>
    </row>
    <row r="99" spans="1:12" ht="14.55" customHeight="1" x14ac:dyDescent="0.3">
      <c r="A99" s="14">
        <v>46038</v>
      </c>
      <c r="B99" s="15">
        <v>46039.136111111111</v>
      </c>
      <c r="C99" s="16">
        <v>11</v>
      </c>
      <c r="D99" s="16" t="s">
        <v>70</v>
      </c>
      <c r="E99" s="16" t="s">
        <v>11</v>
      </c>
      <c r="F99" s="16" t="s">
        <v>50</v>
      </c>
      <c r="G99" s="16" t="s">
        <v>51</v>
      </c>
      <c r="H99" s="16">
        <v>15</v>
      </c>
      <c r="I99" s="16">
        <v>170</v>
      </c>
      <c r="J99" s="16">
        <v>186</v>
      </c>
      <c r="K99" s="16">
        <v>10</v>
      </c>
      <c r="L99" s="16">
        <v>8</v>
      </c>
    </row>
    <row r="100" spans="1:12" ht="14.55" customHeight="1" x14ac:dyDescent="0.3">
      <c r="A100" s="14">
        <v>46038</v>
      </c>
      <c r="B100" s="15">
        <v>46039.136111111111</v>
      </c>
      <c r="C100" s="16">
        <v>35</v>
      </c>
      <c r="D100" s="16" t="s">
        <v>70</v>
      </c>
      <c r="E100" s="16" t="s">
        <v>11</v>
      </c>
      <c r="F100" s="16" t="s">
        <v>73</v>
      </c>
      <c r="G100" s="16" t="s">
        <v>63</v>
      </c>
      <c r="H100" s="16">
        <v>14</v>
      </c>
      <c r="I100" s="16">
        <v>109</v>
      </c>
      <c r="J100" s="16">
        <v>118</v>
      </c>
      <c r="K100" s="16">
        <v>6.66</v>
      </c>
      <c r="L100" s="16">
        <v>5</v>
      </c>
    </row>
    <row r="101" spans="1:12" ht="14.55" customHeight="1" x14ac:dyDescent="0.3">
      <c r="A101" s="14">
        <v>46038</v>
      </c>
      <c r="B101" s="15">
        <v>46039.134722222225</v>
      </c>
      <c r="C101" s="16">
        <v>33</v>
      </c>
      <c r="D101" s="16" t="s">
        <v>70</v>
      </c>
      <c r="E101" s="16" t="s">
        <v>11</v>
      </c>
      <c r="F101" s="16" t="s">
        <v>64</v>
      </c>
      <c r="G101" s="16" t="s">
        <v>65</v>
      </c>
      <c r="H101" s="16">
        <v>9</v>
      </c>
      <c r="I101" s="16">
        <v>103</v>
      </c>
      <c r="J101" s="16">
        <v>107</v>
      </c>
      <c r="K101" s="16">
        <v>6.66</v>
      </c>
      <c r="L101" s="16">
        <v>5</v>
      </c>
    </row>
    <row r="102" spans="1:12" ht="14.55" customHeight="1" x14ac:dyDescent="0.3">
      <c r="A102" s="14">
        <v>46038</v>
      </c>
      <c r="B102" s="15">
        <v>46039.132638888892</v>
      </c>
      <c r="C102" s="16">
        <v>36</v>
      </c>
      <c r="D102" s="16" t="s">
        <v>70</v>
      </c>
      <c r="E102" s="16" t="s">
        <v>11</v>
      </c>
      <c r="F102" s="16" t="s">
        <v>72</v>
      </c>
      <c r="G102" s="16" t="s">
        <v>51</v>
      </c>
      <c r="H102" s="16">
        <v>15</v>
      </c>
      <c r="I102" s="16">
        <v>170</v>
      </c>
      <c r="J102" s="16">
        <v>181</v>
      </c>
      <c r="K102" s="16">
        <v>6.66</v>
      </c>
      <c r="L102" s="16">
        <v>7</v>
      </c>
    </row>
    <row r="103" spans="1:12" ht="14.55" customHeight="1" x14ac:dyDescent="0.3">
      <c r="A103" s="14">
        <v>46038</v>
      </c>
      <c r="B103" s="15">
        <v>46039.129861111112</v>
      </c>
      <c r="C103" s="16">
        <v>10</v>
      </c>
      <c r="D103" s="16" t="s">
        <v>70</v>
      </c>
      <c r="E103" s="16" t="s">
        <v>11</v>
      </c>
      <c r="F103" s="16" t="s">
        <v>54</v>
      </c>
      <c r="G103" s="16" t="s">
        <v>55</v>
      </c>
      <c r="H103" s="16">
        <v>2</v>
      </c>
      <c r="I103" s="16">
        <v>110</v>
      </c>
      <c r="J103" s="16">
        <v>106</v>
      </c>
      <c r="K103" s="16">
        <v>6.66</v>
      </c>
      <c r="L103" s="16">
        <v>3</v>
      </c>
    </row>
    <row r="104" spans="1:12" ht="14.55" customHeight="1" x14ac:dyDescent="0.3">
      <c r="A104" s="14">
        <v>46038</v>
      </c>
      <c r="B104" s="15">
        <v>46039.128472222219</v>
      </c>
      <c r="C104" s="16">
        <v>36</v>
      </c>
      <c r="D104" s="16" t="s">
        <v>70</v>
      </c>
      <c r="E104" s="16" t="s">
        <v>11</v>
      </c>
      <c r="F104" s="16" t="s">
        <v>72</v>
      </c>
      <c r="G104" s="16" t="s">
        <v>51</v>
      </c>
      <c r="H104" s="16">
        <v>15</v>
      </c>
      <c r="I104" s="16">
        <v>170</v>
      </c>
      <c r="J104" s="16">
        <v>170</v>
      </c>
      <c r="K104" s="16">
        <v>6.66</v>
      </c>
      <c r="L104" s="16">
        <v>8</v>
      </c>
    </row>
    <row r="105" spans="1:12" ht="14.55" customHeight="1" x14ac:dyDescent="0.3">
      <c r="A105" s="14">
        <v>46038</v>
      </c>
      <c r="B105" s="15">
        <v>46039.127083333333</v>
      </c>
      <c r="C105" s="16">
        <v>20</v>
      </c>
      <c r="D105" s="16" t="s">
        <v>70</v>
      </c>
      <c r="E105" s="16" t="s">
        <v>11</v>
      </c>
      <c r="F105" s="16" t="s">
        <v>69</v>
      </c>
      <c r="G105" s="16" t="s">
        <v>51</v>
      </c>
      <c r="H105" s="16">
        <v>15</v>
      </c>
      <c r="I105" s="16">
        <v>170</v>
      </c>
      <c r="J105" s="16">
        <v>171</v>
      </c>
      <c r="K105" s="16">
        <v>10</v>
      </c>
      <c r="L105" s="16">
        <v>10</v>
      </c>
    </row>
    <row r="106" spans="1:12" ht="14.55" customHeight="1" x14ac:dyDescent="0.3">
      <c r="A106" s="14">
        <v>46038</v>
      </c>
      <c r="B106" s="15">
        <v>46039.122916666667</v>
      </c>
      <c r="C106" s="16">
        <v>36</v>
      </c>
      <c r="D106" s="16" t="s">
        <v>70</v>
      </c>
      <c r="E106" s="16" t="s">
        <v>11</v>
      </c>
      <c r="F106" s="16" t="s">
        <v>72</v>
      </c>
      <c r="G106" s="16" t="s">
        <v>51</v>
      </c>
      <c r="H106" s="16">
        <v>15</v>
      </c>
      <c r="I106" s="16">
        <v>170</v>
      </c>
      <c r="J106" s="16">
        <v>168</v>
      </c>
      <c r="K106" s="16">
        <v>6.66</v>
      </c>
      <c r="L106" s="16">
        <v>13</v>
      </c>
    </row>
    <row r="107" spans="1:12" ht="14.55" customHeight="1" x14ac:dyDescent="0.3">
      <c r="A107" s="14">
        <v>46038</v>
      </c>
      <c r="B107" s="15">
        <v>46039.121527777781</v>
      </c>
      <c r="C107" s="16">
        <v>22</v>
      </c>
      <c r="D107" s="16" t="s">
        <v>70</v>
      </c>
      <c r="E107" s="16" t="s">
        <v>11</v>
      </c>
      <c r="F107" s="16" t="s">
        <v>90</v>
      </c>
      <c r="G107" s="16" t="s">
        <v>91</v>
      </c>
      <c r="H107" s="16">
        <v>2</v>
      </c>
      <c r="I107" s="16">
        <v>90</v>
      </c>
      <c r="J107" s="16">
        <v>102</v>
      </c>
      <c r="K107" s="16">
        <v>6.66</v>
      </c>
      <c r="L107" s="16">
        <v>8</v>
      </c>
    </row>
    <row r="108" spans="1:12" ht="14.55" customHeight="1" x14ac:dyDescent="0.3">
      <c r="A108" s="14">
        <v>46038</v>
      </c>
      <c r="B108" s="15">
        <v>46039.116666666669</v>
      </c>
      <c r="C108" s="16">
        <v>36</v>
      </c>
      <c r="D108" s="16" t="s">
        <v>70</v>
      </c>
      <c r="E108" s="16" t="s">
        <v>11</v>
      </c>
      <c r="F108" s="16" t="s">
        <v>72</v>
      </c>
      <c r="G108" s="16" t="s">
        <v>51</v>
      </c>
      <c r="H108" s="16">
        <v>15</v>
      </c>
      <c r="I108" s="16">
        <v>170</v>
      </c>
      <c r="J108" s="16">
        <v>139</v>
      </c>
      <c r="K108" s="16">
        <v>6.66</v>
      </c>
      <c r="L108" s="16">
        <v>6</v>
      </c>
    </row>
    <row r="109" spans="1:12" ht="14.55" customHeight="1" x14ac:dyDescent="0.3">
      <c r="A109" s="14">
        <v>46038</v>
      </c>
      <c r="B109" s="15">
        <v>46039.113194444442</v>
      </c>
      <c r="C109" s="16">
        <v>35</v>
      </c>
      <c r="D109" s="16" t="s">
        <v>70</v>
      </c>
      <c r="E109" s="16" t="s">
        <v>11</v>
      </c>
      <c r="F109" s="16" t="s">
        <v>73</v>
      </c>
      <c r="G109" s="16" t="s">
        <v>63</v>
      </c>
      <c r="H109" s="16">
        <v>14</v>
      </c>
      <c r="I109" s="16">
        <v>109</v>
      </c>
      <c r="J109" s="16">
        <v>122</v>
      </c>
      <c r="K109" s="16">
        <v>6.66</v>
      </c>
      <c r="L109" s="16">
        <v>4</v>
      </c>
    </row>
    <row r="110" spans="1:12" ht="14.55" customHeight="1" x14ac:dyDescent="0.3">
      <c r="A110" s="14">
        <v>46038</v>
      </c>
      <c r="B110" s="15">
        <v>46039.109722222223</v>
      </c>
      <c r="C110" s="16">
        <v>35</v>
      </c>
      <c r="D110" s="16" t="s">
        <v>70</v>
      </c>
      <c r="E110" s="16" t="s">
        <v>11</v>
      </c>
      <c r="F110" s="16" t="s">
        <v>73</v>
      </c>
      <c r="G110" s="16" t="s">
        <v>63</v>
      </c>
      <c r="H110" s="16">
        <v>14</v>
      </c>
      <c r="I110" s="16">
        <v>109</v>
      </c>
      <c r="J110" s="16">
        <v>124</v>
      </c>
      <c r="K110" s="16">
        <v>6.66</v>
      </c>
      <c r="L110" s="16">
        <v>4</v>
      </c>
    </row>
    <row r="111" spans="1:12" ht="14.55" customHeight="1" x14ac:dyDescent="0.3">
      <c r="A111" s="14">
        <v>46038</v>
      </c>
      <c r="B111" s="15">
        <v>46039.106944444444</v>
      </c>
      <c r="C111" s="16">
        <v>37</v>
      </c>
      <c r="D111" s="16" t="s">
        <v>70</v>
      </c>
      <c r="E111" s="16" t="s">
        <v>11</v>
      </c>
      <c r="F111" s="16" t="s">
        <v>52</v>
      </c>
      <c r="G111" s="16" t="s">
        <v>53</v>
      </c>
      <c r="H111" s="16">
        <v>5</v>
      </c>
      <c r="I111" s="16">
        <v>106</v>
      </c>
      <c r="J111" s="16">
        <v>110</v>
      </c>
      <c r="K111" s="16">
        <v>6.66</v>
      </c>
      <c r="L111" s="16">
        <v>2</v>
      </c>
    </row>
    <row r="112" spans="1:12" ht="14.55" customHeight="1" x14ac:dyDescent="0.3">
      <c r="A112" s="14">
        <v>46038</v>
      </c>
      <c r="B112" s="15">
        <v>46039.102083333331</v>
      </c>
      <c r="C112" s="16">
        <v>22</v>
      </c>
      <c r="D112" s="16" t="s">
        <v>70</v>
      </c>
      <c r="E112" s="16" t="s">
        <v>11</v>
      </c>
      <c r="F112" s="16" t="s">
        <v>90</v>
      </c>
      <c r="G112" s="16" t="s">
        <v>91</v>
      </c>
      <c r="H112" s="16">
        <v>2</v>
      </c>
      <c r="I112" s="16">
        <v>90</v>
      </c>
      <c r="J112" s="16">
        <v>101</v>
      </c>
      <c r="K112" s="16">
        <v>6.66</v>
      </c>
      <c r="L112" s="16">
        <v>9</v>
      </c>
    </row>
    <row r="113" spans="1:12" ht="14.55" customHeight="1" x14ac:dyDescent="0.3">
      <c r="A113" s="14">
        <v>46038</v>
      </c>
      <c r="B113" s="15">
        <v>46039.099305555559</v>
      </c>
      <c r="C113" s="16">
        <v>33</v>
      </c>
      <c r="D113" s="16" t="s">
        <v>70</v>
      </c>
      <c r="E113" s="16" t="s">
        <v>11</v>
      </c>
      <c r="F113" s="16" t="s">
        <v>64</v>
      </c>
      <c r="G113" s="16" t="s">
        <v>65</v>
      </c>
      <c r="H113" s="16">
        <v>9</v>
      </c>
      <c r="I113" s="16">
        <v>103</v>
      </c>
      <c r="J113" s="16">
        <v>110</v>
      </c>
      <c r="K113" s="16">
        <v>6.66</v>
      </c>
      <c r="L113" s="16">
        <v>4</v>
      </c>
    </row>
    <row r="114" spans="1:12" ht="14.55" customHeight="1" x14ac:dyDescent="0.3">
      <c r="A114" s="14">
        <v>46038</v>
      </c>
      <c r="B114" s="15">
        <v>46039.099305555559</v>
      </c>
      <c r="C114" s="16">
        <v>22</v>
      </c>
      <c r="D114" s="16" t="s">
        <v>70</v>
      </c>
      <c r="E114" s="16" t="s">
        <v>11</v>
      </c>
      <c r="F114" s="16" t="s">
        <v>90</v>
      </c>
      <c r="G114" s="16" t="s">
        <v>91</v>
      </c>
      <c r="H114" s="16">
        <v>2</v>
      </c>
      <c r="I114" s="16">
        <v>90</v>
      </c>
      <c r="J114" s="16">
        <v>94</v>
      </c>
      <c r="K114" s="16">
        <v>6.66</v>
      </c>
      <c r="L114" s="16">
        <v>6</v>
      </c>
    </row>
    <row r="115" spans="1:12" ht="14.55" customHeight="1" x14ac:dyDescent="0.3">
      <c r="A115" s="14">
        <v>46038</v>
      </c>
      <c r="B115" s="15">
        <v>46039.097222222219</v>
      </c>
      <c r="C115" s="16">
        <v>37</v>
      </c>
      <c r="D115" s="16" t="s">
        <v>70</v>
      </c>
      <c r="E115" s="16" t="s">
        <v>11</v>
      </c>
      <c r="F115" s="16" t="s">
        <v>52</v>
      </c>
      <c r="G115" s="16" t="s">
        <v>53</v>
      </c>
      <c r="H115" s="16">
        <v>5</v>
      </c>
      <c r="I115" s="16">
        <v>106</v>
      </c>
      <c r="J115" s="16">
        <v>108</v>
      </c>
      <c r="K115" s="16">
        <v>6.66</v>
      </c>
      <c r="L115" s="16">
        <v>4</v>
      </c>
    </row>
    <row r="116" spans="1:12" ht="14.55" customHeight="1" x14ac:dyDescent="0.3">
      <c r="A116" s="14">
        <v>46038</v>
      </c>
      <c r="B116" s="15">
        <v>46039.095833333333</v>
      </c>
      <c r="C116" s="16">
        <v>33</v>
      </c>
      <c r="D116" s="16" t="s">
        <v>70</v>
      </c>
      <c r="E116" s="16" t="s">
        <v>11</v>
      </c>
      <c r="F116" s="16" t="s">
        <v>64</v>
      </c>
      <c r="G116" s="16" t="s">
        <v>65</v>
      </c>
      <c r="H116" s="16">
        <v>9</v>
      </c>
      <c r="I116" s="16">
        <v>103</v>
      </c>
      <c r="J116" s="16">
        <v>109</v>
      </c>
      <c r="K116" s="16">
        <v>6.66</v>
      </c>
      <c r="L116" s="16">
        <v>5</v>
      </c>
    </row>
    <row r="117" spans="1:12" ht="14.55" customHeight="1" x14ac:dyDescent="0.3">
      <c r="A117" s="14">
        <v>46038</v>
      </c>
      <c r="B117" s="15">
        <v>46039.09375</v>
      </c>
      <c r="C117" s="16">
        <v>33</v>
      </c>
      <c r="D117" s="16" t="s">
        <v>70</v>
      </c>
      <c r="E117" s="16" t="s">
        <v>11</v>
      </c>
      <c r="F117" s="16" t="s">
        <v>64</v>
      </c>
      <c r="G117" s="16" t="s">
        <v>65</v>
      </c>
      <c r="H117" s="16">
        <v>9</v>
      </c>
      <c r="I117" s="16">
        <v>103</v>
      </c>
      <c r="J117" s="16">
        <v>112</v>
      </c>
      <c r="K117" s="16">
        <v>6.66</v>
      </c>
      <c r="L117" s="16">
        <v>5</v>
      </c>
    </row>
    <row r="118" spans="1:12" ht="14.55" customHeight="1" x14ac:dyDescent="0.3">
      <c r="A118" s="14">
        <v>46038</v>
      </c>
      <c r="B118" s="15">
        <v>46039.092361111114</v>
      </c>
      <c r="C118" s="16">
        <v>11</v>
      </c>
      <c r="D118" s="16" t="s">
        <v>70</v>
      </c>
      <c r="E118" s="16" t="s">
        <v>11</v>
      </c>
      <c r="F118" s="16" t="s">
        <v>50</v>
      </c>
      <c r="G118" s="16" t="s">
        <v>51</v>
      </c>
      <c r="H118" s="16">
        <v>15</v>
      </c>
      <c r="I118" s="16">
        <v>170</v>
      </c>
      <c r="J118" s="16">
        <v>188</v>
      </c>
      <c r="K118" s="16">
        <v>10</v>
      </c>
      <c r="L118" s="16">
        <v>7</v>
      </c>
    </row>
    <row r="119" spans="1:12" ht="14.55" customHeight="1" x14ac:dyDescent="0.3">
      <c r="A119" s="14">
        <v>46038</v>
      </c>
      <c r="B119" s="15">
        <v>46039.092361111114</v>
      </c>
      <c r="C119" s="16">
        <v>24</v>
      </c>
      <c r="D119" s="16" t="s">
        <v>70</v>
      </c>
      <c r="E119" s="16" t="s">
        <v>11</v>
      </c>
      <c r="F119" s="16" t="s">
        <v>56</v>
      </c>
      <c r="G119" s="16" t="s">
        <v>57</v>
      </c>
      <c r="H119" s="16">
        <v>24</v>
      </c>
      <c r="I119" s="16">
        <v>110</v>
      </c>
      <c r="J119" s="16">
        <v>117</v>
      </c>
      <c r="K119" s="16">
        <v>6.66</v>
      </c>
      <c r="L119" s="16">
        <v>7</v>
      </c>
    </row>
    <row r="120" spans="1:12" ht="14.55" customHeight="1" x14ac:dyDescent="0.3">
      <c r="A120" s="14">
        <v>46038</v>
      </c>
      <c r="B120" s="15">
        <v>46039.091666666667</v>
      </c>
      <c r="C120" s="16">
        <v>36</v>
      </c>
      <c r="D120" s="16" t="s">
        <v>70</v>
      </c>
      <c r="E120" s="16" t="s">
        <v>11</v>
      </c>
      <c r="F120" s="16" t="s">
        <v>72</v>
      </c>
      <c r="G120" s="16" t="s">
        <v>51</v>
      </c>
      <c r="H120" s="16">
        <v>270</v>
      </c>
      <c r="I120" s="16">
        <v>170</v>
      </c>
      <c r="J120" s="16">
        <v>175</v>
      </c>
      <c r="K120" s="16">
        <v>6.66</v>
      </c>
      <c r="L120" s="16">
        <v>11</v>
      </c>
    </row>
    <row r="121" spans="1:12" ht="14.55" customHeight="1" x14ac:dyDescent="0.3">
      <c r="A121" s="14">
        <v>46038</v>
      </c>
      <c r="B121" s="15">
        <v>46039.090277777781</v>
      </c>
      <c r="C121" s="16">
        <v>26</v>
      </c>
      <c r="D121" s="16" t="s">
        <v>70</v>
      </c>
      <c r="E121" s="16" t="s">
        <v>11</v>
      </c>
      <c r="F121" s="16" t="s">
        <v>50</v>
      </c>
      <c r="G121" s="16" t="s">
        <v>51</v>
      </c>
      <c r="H121" s="16">
        <v>15</v>
      </c>
      <c r="I121" s="16">
        <v>170</v>
      </c>
      <c r="J121" s="16">
        <v>175</v>
      </c>
      <c r="K121" s="16">
        <v>10</v>
      </c>
      <c r="L121" s="16">
        <v>7</v>
      </c>
    </row>
    <row r="122" spans="1:12" ht="14.55" customHeight="1" x14ac:dyDescent="0.3">
      <c r="A122" s="14">
        <v>46038</v>
      </c>
      <c r="B122" s="15">
        <v>46039.089583333334</v>
      </c>
      <c r="C122" s="16">
        <v>34</v>
      </c>
      <c r="D122" s="16" t="s">
        <v>70</v>
      </c>
      <c r="E122" s="16" t="s">
        <v>11</v>
      </c>
      <c r="F122" s="16" t="s">
        <v>78</v>
      </c>
      <c r="G122" s="16" t="s">
        <v>65</v>
      </c>
      <c r="H122" s="16">
        <v>8</v>
      </c>
      <c r="I122" s="16">
        <v>102</v>
      </c>
      <c r="J122" s="16">
        <v>116</v>
      </c>
      <c r="K122" s="16">
        <v>6.66</v>
      </c>
      <c r="L122" s="16">
        <v>4</v>
      </c>
    </row>
    <row r="123" spans="1:12" ht="14.55" customHeight="1" x14ac:dyDescent="0.3">
      <c r="A123" s="14">
        <v>46038</v>
      </c>
      <c r="B123" s="15">
        <v>46039.086805555555</v>
      </c>
      <c r="C123" s="16">
        <v>38</v>
      </c>
      <c r="D123" s="16" t="s">
        <v>70</v>
      </c>
      <c r="E123" s="16" t="s">
        <v>11</v>
      </c>
      <c r="F123" s="16" t="s">
        <v>52</v>
      </c>
      <c r="G123" s="16" t="s">
        <v>53</v>
      </c>
      <c r="H123" s="16">
        <v>5</v>
      </c>
      <c r="I123" s="16">
        <v>106</v>
      </c>
      <c r="J123" s="16">
        <v>107</v>
      </c>
      <c r="K123" s="16">
        <v>6.66</v>
      </c>
      <c r="L123" s="16">
        <v>4</v>
      </c>
    </row>
    <row r="124" spans="1:12" ht="14.55" customHeight="1" x14ac:dyDescent="0.3">
      <c r="A124" s="14">
        <v>46038</v>
      </c>
      <c r="B124" s="15">
        <v>46039.086805555555</v>
      </c>
      <c r="C124" s="16">
        <v>10</v>
      </c>
      <c r="D124" s="16" t="s">
        <v>70</v>
      </c>
      <c r="E124" s="16" t="s">
        <v>11</v>
      </c>
      <c r="F124" s="16" t="s">
        <v>54</v>
      </c>
      <c r="G124" s="16" t="s">
        <v>55</v>
      </c>
      <c r="H124" s="16">
        <v>2</v>
      </c>
      <c r="I124" s="16">
        <v>110</v>
      </c>
      <c r="J124" s="16">
        <v>109</v>
      </c>
      <c r="K124" s="16">
        <v>6.66</v>
      </c>
      <c r="L124" s="16">
        <v>6</v>
      </c>
    </row>
    <row r="125" spans="1:12" ht="14.55" customHeight="1" x14ac:dyDescent="0.3">
      <c r="A125" s="14">
        <v>46038</v>
      </c>
      <c r="B125" s="15">
        <v>46039.085416666669</v>
      </c>
      <c r="C125" s="16">
        <v>20</v>
      </c>
      <c r="D125" s="16" t="s">
        <v>70</v>
      </c>
      <c r="E125" s="16" t="s">
        <v>11</v>
      </c>
      <c r="F125" s="16" t="s">
        <v>69</v>
      </c>
      <c r="G125" s="16" t="s">
        <v>51</v>
      </c>
      <c r="H125" s="16">
        <v>15</v>
      </c>
      <c r="I125" s="16">
        <v>170</v>
      </c>
      <c r="J125" s="16">
        <v>174</v>
      </c>
      <c r="K125" s="16">
        <v>10</v>
      </c>
      <c r="L125" s="16">
        <v>9</v>
      </c>
    </row>
    <row r="126" spans="1:12" ht="14.55" customHeight="1" x14ac:dyDescent="0.3">
      <c r="A126" s="14">
        <v>46038</v>
      </c>
      <c r="B126" s="15">
        <v>46039.074305555558</v>
      </c>
      <c r="C126" s="16">
        <v>36</v>
      </c>
      <c r="D126" s="16" t="s">
        <v>70</v>
      </c>
      <c r="E126" s="16" t="s">
        <v>11</v>
      </c>
      <c r="F126" s="16" t="s">
        <v>72</v>
      </c>
      <c r="G126" s="16" t="s">
        <v>51</v>
      </c>
      <c r="H126" s="16">
        <v>270</v>
      </c>
      <c r="I126" s="16">
        <v>170</v>
      </c>
      <c r="J126" s="16">
        <v>181</v>
      </c>
      <c r="K126" s="16">
        <v>6.66</v>
      </c>
      <c r="L126" s="16">
        <v>4</v>
      </c>
    </row>
    <row r="127" spans="1:12" ht="14.55" customHeight="1" x14ac:dyDescent="0.3">
      <c r="A127" s="14">
        <v>46038</v>
      </c>
      <c r="B127" s="15">
        <v>46039.070138888892</v>
      </c>
      <c r="C127" s="16">
        <v>22</v>
      </c>
      <c r="D127" s="16" t="s">
        <v>70</v>
      </c>
      <c r="E127" s="16" t="s">
        <v>11</v>
      </c>
      <c r="F127" s="16" t="s">
        <v>90</v>
      </c>
      <c r="G127" s="16" t="s">
        <v>91</v>
      </c>
      <c r="H127" s="16">
        <v>2</v>
      </c>
      <c r="I127" s="16">
        <v>90</v>
      </c>
      <c r="J127" s="16">
        <v>83</v>
      </c>
      <c r="K127" s="16">
        <v>6.66</v>
      </c>
      <c r="L127" s="16">
        <v>3</v>
      </c>
    </row>
    <row r="128" spans="1:12" ht="14.55" customHeight="1" x14ac:dyDescent="0.3">
      <c r="A128" s="14">
        <v>46038</v>
      </c>
      <c r="B128" s="15">
        <v>46039.064583333333</v>
      </c>
      <c r="C128" s="16">
        <v>26</v>
      </c>
      <c r="D128" s="16" t="s">
        <v>70</v>
      </c>
      <c r="E128" s="16" t="s">
        <v>11</v>
      </c>
      <c r="F128" s="16" t="s">
        <v>50</v>
      </c>
      <c r="G128" s="16" t="s">
        <v>51</v>
      </c>
      <c r="H128" s="16">
        <v>15</v>
      </c>
      <c r="I128" s="16">
        <v>170</v>
      </c>
      <c r="J128" s="16">
        <v>174</v>
      </c>
      <c r="K128" s="16">
        <v>10</v>
      </c>
      <c r="L128" s="16">
        <v>6</v>
      </c>
    </row>
    <row r="129" spans="1:12" ht="14.55" customHeight="1" x14ac:dyDescent="0.3">
      <c r="A129" s="14">
        <v>46038</v>
      </c>
      <c r="B129" s="15">
        <v>46039.061805555553</v>
      </c>
      <c r="C129" s="16">
        <v>38</v>
      </c>
      <c r="D129" s="16" t="s">
        <v>70</v>
      </c>
      <c r="E129" s="16" t="s">
        <v>11</v>
      </c>
      <c r="F129" s="16" t="s">
        <v>52</v>
      </c>
      <c r="G129" s="16" t="s">
        <v>53</v>
      </c>
      <c r="H129" s="16">
        <v>5</v>
      </c>
      <c r="I129" s="16">
        <v>106</v>
      </c>
      <c r="J129" s="16">
        <v>110</v>
      </c>
      <c r="K129" s="16">
        <v>6.66</v>
      </c>
      <c r="L129" s="16">
        <v>4</v>
      </c>
    </row>
    <row r="130" spans="1:12" ht="14.55" customHeight="1" x14ac:dyDescent="0.3">
      <c r="A130" s="14">
        <v>46038</v>
      </c>
      <c r="B130" s="15">
        <v>46039.061111111114</v>
      </c>
      <c r="C130" s="16">
        <v>11</v>
      </c>
      <c r="D130" s="16" t="s">
        <v>70</v>
      </c>
      <c r="E130" s="16" t="s">
        <v>11</v>
      </c>
      <c r="F130" s="16" t="s">
        <v>50</v>
      </c>
      <c r="G130" s="16" t="s">
        <v>51</v>
      </c>
      <c r="H130" s="16">
        <v>15</v>
      </c>
      <c r="I130" s="16">
        <v>170</v>
      </c>
      <c r="J130" s="16">
        <v>187</v>
      </c>
      <c r="K130" s="16">
        <v>10</v>
      </c>
      <c r="L130" s="16">
        <v>12</v>
      </c>
    </row>
    <row r="131" spans="1:12" ht="14.55" customHeight="1" x14ac:dyDescent="0.3">
      <c r="A131" s="14">
        <v>46038</v>
      </c>
      <c r="B131" s="15">
        <v>46039.060416666667</v>
      </c>
      <c r="C131" s="16">
        <v>34</v>
      </c>
      <c r="D131" s="16" t="s">
        <v>70</v>
      </c>
      <c r="E131" s="16" t="s">
        <v>11</v>
      </c>
      <c r="F131" s="16" t="s">
        <v>78</v>
      </c>
      <c r="G131" s="16" t="s">
        <v>65</v>
      </c>
      <c r="H131" s="16">
        <v>8</v>
      </c>
      <c r="I131" s="16">
        <v>102</v>
      </c>
      <c r="J131" s="16">
        <v>112</v>
      </c>
      <c r="K131" s="16">
        <v>6.66</v>
      </c>
      <c r="L131" s="16">
        <v>5</v>
      </c>
    </row>
    <row r="132" spans="1:12" ht="14.55" customHeight="1" x14ac:dyDescent="0.3">
      <c r="A132" s="14">
        <v>46038</v>
      </c>
      <c r="B132" s="15">
        <v>46039.059027777781</v>
      </c>
      <c r="C132" s="16">
        <v>20</v>
      </c>
      <c r="D132" s="16" t="s">
        <v>70</v>
      </c>
      <c r="E132" s="16" t="s">
        <v>11</v>
      </c>
      <c r="F132" s="16" t="s">
        <v>69</v>
      </c>
      <c r="G132" s="16" t="s">
        <v>51</v>
      </c>
      <c r="H132" s="16">
        <v>15</v>
      </c>
      <c r="I132" s="16">
        <v>170</v>
      </c>
      <c r="J132" s="16">
        <v>169</v>
      </c>
      <c r="K132" s="16">
        <v>10</v>
      </c>
      <c r="L132" s="16">
        <v>8</v>
      </c>
    </row>
    <row r="133" spans="1:12" ht="14.55" customHeight="1" x14ac:dyDescent="0.3">
      <c r="A133" s="14">
        <v>46038</v>
      </c>
      <c r="B133" s="15">
        <v>46039.059027777781</v>
      </c>
      <c r="C133" s="16">
        <v>9</v>
      </c>
      <c r="D133" s="16" t="s">
        <v>70</v>
      </c>
      <c r="E133" s="16" t="s">
        <v>11</v>
      </c>
      <c r="F133" s="16" t="s">
        <v>50</v>
      </c>
      <c r="G133" s="16" t="s">
        <v>51</v>
      </c>
      <c r="H133" s="16">
        <v>15</v>
      </c>
      <c r="I133" s="16">
        <v>170</v>
      </c>
      <c r="J133" s="16">
        <v>174</v>
      </c>
      <c r="K133" s="16">
        <v>10</v>
      </c>
      <c r="L133" s="16">
        <v>9</v>
      </c>
    </row>
    <row r="134" spans="1:12" ht="14.55" customHeight="1" x14ac:dyDescent="0.3">
      <c r="A134" s="14">
        <v>46038</v>
      </c>
      <c r="B134" s="15">
        <v>46039.056944444441</v>
      </c>
      <c r="C134" s="16">
        <v>20</v>
      </c>
      <c r="D134" s="16" t="s">
        <v>70</v>
      </c>
      <c r="E134" s="16" t="s">
        <v>11</v>
      </c>
      <c r="F134" s="16" t="s">
        <v>69</v>
      </c>
      <c r="G134" s="16" t="s">
        <v>51</v>
      </c>
      <c r="H134" s="16">
        <v>15</v>
      </c>
      <c r="I134" s="16">
        <v>170</v>
      </c>
      <c r="J134" s="16">
        <v>182</v>
      </c>
      <c r="K134" s="16">
        <v>10</v>
      </c>
      <c r="L134" s="16">
        <v>10</v>
      </c>
    </row>
    <row r="135" spans="1:12" ht="14.55" customHeight="1" x14ac:dyDescent="0.3">
      <c r="A135" s="14">
        <v>46038</v>
      </c>
      <c r="B135" s="15">
        <v>46039.054861111108</v>
      </c>
      <c r="C135" s="16">
        <v>24</v>
      </c>
      <c r="D135" s="16" t="s">
        <v>70</v>
      </c>
      <c r="E135" s="16" t="s">
        <v>11</v>
      </c>
      <c r="F135" s="16" t="s">
        <v>56</v>
      </c>
      <c r="G135" s="16" t="s">
        <v>57</v>
      </c>
      <c r="H135" s="16">
        <v>24</v>
      </c>
      <c r="I135" s="16">
        <v>110</v>
      </c>
      <c r="J135" s="16">
        <v>121</v>
      </c>
      <c r="K135" s="16">
        <v>6.66</v>
      </c>
      <c r="L135" s="16">
        <v>6</v>
      </c>
    </row>
    <row r="136" spans="1:12" ht="14.55" customHeight="1" x14ac:dyDescent="0.3">
      <c r="A136" s="14">
        <v>46038</v>
      </c>
      <c r="B136" s="15">
        <v>46039.054166666669</v>
      </c>
      <c r="C136" s="16">
        <v>33</v>
      </c>
      <c r="D136" s="16" t="s">
        <v>70</v>
      </c>
      <c r="E136" s="16" t="s">
        <v>11</v>
      </c>
      <c r="F136" s="16" t="s">
        <v>64</v>
      </c>
      <c r="G136" s="16" t="s">
        <v>65</v>
      </c>
      <c r="H136" s="16">
        <v>9</v>
      </c>
      <c r="I136" s="16">
        <v>103</v>
      </c>
      <c r="J136" s="16">
        <v>110</v>
      </c>
      <c r="K136" s="16">
        <v>6.66</v>
      </c>
      <c r="L136" s="16">
        <v>6</v>
      </c>
    </row>
    <row r="137" spans="1:12" ht="14.55" customHeight="1" x14ac:dyDescent="0.3">
      <c r="A137" s="14">
        <v>46038</v>
      </c>
      <c r="B137" s="15">
        <v>46039.051388888889</v>
      </c>
      <c r="C137" s="16">
        <v>38</v>
      </c>
      <c r="D137" s="16" t="s">
        <v>70</v>
      </c>
      <c r="E137" s="16" t="s">
        <v>11</v>
      </c>
      <c r="F137" s="16" t="s">
        <v>52</v>
      </c>
      <c r="G137" s="16" t="s">
        <v>53</v>
      </c>
      <c r="H137" s="16">
        <v>5</v>
      </c>
      <c r="I137" s="16">
        <v>106</v>
      </c>
      <c r="J137" s="16">
        <v>109</v>
      </c>
      <c r="K137" s="16">
        <v>6.66</v>
      </c>
      <c r="L137" s="16">
        <v>3</v>
      </c>
    </row>
    <row r="138" spans="1:12" ht="14.55" customHeight="1" x14ac:dyDescent="0.3">
      <c r="A138" s="14">
        <v>46038</v>
      </c>
      <c r="B138" s="15">
        <v>46039.049305555556</v>
      </c>
      <c r="C138" s="16">
        <v>10</v>
      </c>
      <c r="D138" s="16" t="s">
        <v>70</v>
      </c>
      <c r="E138" s="16" t="s">
        <v>11</v>
      </c>
      <c r="F138" s="16" t="s">
        <v>54</v>
      </c>
      <c r="G138" s="16" t="s">
        <v>55</v>
      </c>
      <c r="H138" s="16">
        <v>2</v>
      </c>
      <c r="I138" s="16">
        <v>110</v>
      </c>
      <c r="J138" s="16">
        <v>116</v>
      </c>
      <c r="K138" s="16">
        <v>6.66</v>
      </c>
      <c r="L138" s="16">
        <v>4</v>
      </c>
    </row>
    <row r="139" spans="1:12" ht="14.55" customHeight="1" x14ac:dyDescent="0.3">
      <c r="A139" s="14">
        <v>46038</v>
      </c>
      <c r="B139" s="15">
        <v>46039.048611111109</v>
      </c>
      <c r="C139" s="16">
        <v>36</v>
      </c>
      <c r="D139" s="16" t="s">
        <v>70</v>
      </c>
      <c r="E139" s="16" t="s">
        <v>11</v>
      </c>
      <c r="F139" s="16" t="s">
        <v>72</v>
      </c>
      <c r="G139" s="16" t="s">
        <v>51</v>
      </c>
      <c r="H139" s="16">
        <v>270</v>
      </c>
      <c r="I139" s="16">
        <v>170</v>
      </c>
      <c r="J139" s="16">
        <v>176</v>
      </c>
      <c r="K139" s="16">
        <v>6.66</v>
      </c>
      <c r="L139" s="16">
        <v>12</v>
      </c>
    </row>
    <row r="140" spans="1:12" ht="14.55" customHeight="1" x14ac:dyDescent="0.3">
      <c r="A140" s="14">
        <v>46038</v>
      </c>
      <c r="B140" s="15">
        <v>46039.046527777777</v>
      </c>
      <c r="C140" s="16">
        <v>26</v>
      </c>
      <c r="D140" s="16" t="s">
        <v>70</v>
      </c>
      <c r="E140" s="16" t="s">
        <v>11</v>
      </c>
      <c r="F140" s="16" t="s">
        <v>50</v>
      </c>
      <c r="G140" s="16" t="s">
        <v>51</v>
      </c>
      <c r="H140" s="16">
        <v>15</v>
      </c>
      <c r="I140" s="16">
        <v>170</v>
      </c>
      <c r="J140" s="16">
        <v>174</v>
      </c>
      <c r="K140" s="16">
        <v>10</v>
      </c>
      <c r="L140" s="16">
        <v>4</v>
      </c>
    </row>
    <row r="141" spans="1:12" ht="14.55" customHeight="1" x14ac:dyDescent="0.3">
      <c r="A141" s="14">
        <v>46038</v>
      </c>
      <c r="B141" s="15">
        <v>46039.045138888891</v>
      </c>
      <c r="C141" s="16">
        <v>37</v>
      </c>
      <c r="D141" s="16" t="s">
        <v>70</v>
      </c>
      <c r="E141" s="16" t="s">
        <v>11</v>
      </c>
      <c r="F141" s="16" t="s">
        <v>52</v>
      </c>
      <c r="G141" s="16" t="s">
        <v>53</v>
      </c>
      <c r="H141" s="16">
        <v>5</v>
      </c>
      <c r="I141" s="16">
        <v>106</v>
      </c>
      <c r="J141" s="16">
        <v>108</v>
      </c>
      <c r="K141" s="16">
        <v>6.66</v>
      </c>
      <c r="L141" s="16">
        <v>5</v>
      </c>
    </row>
    <row r="142" spans="1:12" ht="14.55" customHeight="1" x14ac:dyDescent="0.3">
      <c r="A142" s="14">
        <v>46038</v>
      </c>
      <c r="B142" s="15">
        <v>46039.043749999997</v>
      </c>
      <c r="C142" s="16">
        <v>11</v>
      </c>
      <c r="D142" s="16" t="s">
        <v>70</v>
      </c>
      <c r="E142" s="16" t="s">
        <v>11</v>
      </c>
      <c r="F142" s="16" t="s">
        <v>50</v>
      </c>
      <c r="G142" s="16" t="s">
        <v>51</v>
      </c>
      <c r="H142" s="16">
        <v>15</v>
      </c>
      <c r="I142" s="16">
        <v>170</v>
      </c>
      <c r="J142" s="16">
        <v>199</v>
      </c>
      <c r="K142" s="16">
        <v>10</v>
      </c>
      <c r="L142" s="16">
        <v>8</v>
      </c>
    </row>
    <row r="143" spans="1:12" ht="14.55" customHeight="1" x14ac:dyDescent="0.3">
      <c r="A143" s="14">
        <v>46038</v>
      </c>
      <c r="B143" s="15">
        <v>46039.043055555558</v>
      </c>
      <c r="C143" s="16">
        <v>36</v>
      </c>
      <c r="D143" s="16" t="s">
        <v>70</v>
      </c>
      <c r="E143" s="16" t="s">
        <v>11</v>
      </c>
      <c r="F143" s="16" t="s">
        <v>72</v>
      </c>
      <c r="G143" s="16" t="s">
        <v>51</v>
      </c>
      <c r="H143" s="16">
        <v>270</v>
      </c>
      <c r="I143" s="16">
        <v>170</v>
      </c>
      <c r="J143" s="16">
        <v>181</v>
      </c>
      <c r="K143" s="16">
        <v>6.66</v>
      </c>
      <c r="L143" s="16">
        <v>10</v>
      </c>
    </row>
    <row r="144" spans="1:12" ht="14.55" customHeight="1" x14ac:dyDescent="0.3">
      <c r="A144" s="14">
        <v>46038</v>
      </c>
      <c r="B144" s="15">
        <v>46039.038194444445</v>
      </c>
      <c r="C144" s="16">
        <v>22</v>
      </c>
      <c r="D144" s="16" t="s">
        <v>70</v>
      </c>
      <c r="E144" s="16" t="s">
        <v>11</v>
      </c>
      <c r="F144" s="16" t="s">
        <v>90</v>
      </c>
      <c r="G144" s="16" t="s">
        <v>91</v>
      </c>
      <c r="H144" s="16">
        <v>2</v>
      </c>
      <c r="I144" s="16">
        <v>90</v>
      </c>
      <c r="J144" s="16">
        <v>80</v>
      </c>
      <c r="K144" s="16">
        <v>6.66</v>
      </c>
      <c r="L144" s="16">
        <v>5</v>
      </c>
    </row>
    <row r="145" spans="1:12" ht="14.55" customHeight="1" x14ac:dyDescent="0.3">
      <c r="A145" s="14">
        <v>46038</v>
      </c>
      <c r="B145" s="15">
        <v>46039.02847222222</v>
      </c>
      <c r="C145" s="16">
        <v>38</v>
      </c>
      <c r="D145" s="16" t="s">
        <v>70</v>
      </c>
      <c r="E145" s="16" t="s">
        <v>11</v>
      </c>
      <c r="F145" s="16" t="s">
        <v>52</v>
      </c>
      <c r="G145" s="16" t="s">
        <v>53</v>
      </c>
      <c r="H145" s="16">
        <v>5</v>
      </c>
      <c r="I145" s="16">
        <v>106</v>
      </c>
      <c r="J145" s="16">
        <v>112</v>
      </c>
      <c r="K145" s="16">
        <v>6.66</v>
      </c>
      <c r="L145" s="16">
        <v>3</v>
      </c>
    </row>
    <row r="146" spans="1:12" ht="14.55" customHeight="1" x14ac:dyDescent="0.3">
      <c r="A146" s="14">
        <v>46038</v>
      </c>
      <c r="B146" s="15">
        <v>46039.02847222222</v>
      </c>
      <c r="C146" s="16">
        <v>34</v>
      </c>
      <c r="D146" s="16" t="s">
        <v>70</v>
      </c>
      <c r="E146" s="16" t="s">
        <v>11</v>
      </c>
      <c r="F146" s="16" t="s">
        <v>78</v>
      </c>
      <c r="G146" s="16" t="s">
        <v>65</v>
      </c>
      <c r="H146" s="16">
        <v>7</v>
      </c>
      <c r="I146" s="16">
        <v>102</v>
      </c>
      <c r="J146" s="16">
        <v>114</v>
      </c>
      <c r="K146" s="16">
        <v>6.66</v>
      </c>
      <c r="L146" s="16">
        <v>7</v>
      </c>
    </row>
    <row r="147" spans="1:12" ht="14.55" customHeight="1" x14ac:dyDescent="0.3">
      <c r="A147" s="14">
        <v>46038</v>
      </c>
      <c r="B147" s="15">
        <v>46039.022916666669</v>
      </c>
      <c r="C147" s="16">
        <v>38</v>
      </c>
      <c r="D147" s="16" t="s">
        <v>70</v>
      </c>
      <c r="E147" s="16" t="s">
        <v>11</v>
      </c>
      <c r="F147" s="16" t="s">
        <v>52</v>
      </c>
      <c r="G147" s="16" t="s">
        <v>53</v>
      </c>
      <c r="H147" s="16">
        <v>5</v>
      </c>
      <c r="I147" s="16">
        <v>106</v>
      </c>
      <c r="J147" s="16">
        <v>112</v>
      </c>
      <c r="K147" s="16">
        <v>6.66</v>
      </c>
      <c r="L147" s="16">
        <v>4</v>
      </c>
    </row>
    <row r="148" spans="1:12" ht="14.55" customHeight="1" x14ac:dyDescent="0.3">
      <c r="A148" s="14">
        <v>46038</v>
      </c>
      <c r="B148" s="15">
        <v>46039.018750000003</v>
      </c>
      <c r="C148" s="16">
        <v>10</v>
      </c>
      <c r="D148" s="16" t="s">
        <v>70</v>
      </c>
      <c r="E148" s="16" t="s">
        <v>11</v>
      </c>
      <c r="F148" s="16" t="s">
        <v>54</v>
      </c>
      <c r="G148" s="16" t="s">
        <v>55</v>
      </c>
      <c r="H148" s="16">
        <v>2</v>
      </c>
      <c r="I148" s="16">
        <v>110</v>
      </c>
      <c r="J148" s="16">
        <v>110</v>
      </c>
      <c r="K148" s="16">
        <v>6.66</v>
      </c>
      <c r="L148" s="16">
        <v>2</v>
      </c>
    </row>
    <row r="149" spans="1:12" ht="14.55" customHeight="1" x14ac:dyDescent="0.3">
      <c r="A149" s="14">
        <v>46038</v>
      </c>
      <c r="B149" s="15">
        <v>46039.01666666667</v>
      </c>
      <c r="C149" s="16">
        <v>26</v>
      </c>
      <c r="D149" s="16" t="s">
        <v>70</v>
      </c>
      <c r="E149" s="16" t="s">
        <v>11</v>
      </c>
      <c r="F149" s="16" t="s">
        <v>50</v>
      </c>
      <c r="G149" s="16" t="s">
        <v>51</v>
      </c>
      <c r="H149" s="16">
        <v>15</v>
      </c>
      <c r="I149" s="16">
        <v>170</v>
      </c>
      <c r="J149" s="16">
        <v>173</v>
      </c>
      <c r="K149" s="16">
        <v>10</v>
      </c>
      <c r="L149" s="16">
        <v>7</v>
      </c>
    </row>
    <row r="150" spans="1:12" ht="14.55" customHeight="1" x14ac:dyDescent="0.3">
      <c r="A150" s="14">
        <v>46038</v>
      </c>
      <c r="B150" s="15">
        <v>46039.015972222223</v>
      </c>
      <c r="C150" s="16">
        <v>11</v>
      </c>
      <c r="D150" s="16" t="s">
        <v>70</v>
      </c>
      <c r="E150" s="16" t="s">
        <v>11</v>
      </c>
      <c r="F150" s="16" t="s">
        <v>50</v>
      </c>
      <c r="G150" s="16" t="s">
        <v>51</v>
      </c>
      <c r="H150" s="16">
        <v>15</v>
      </c>
      <c r="I150" s="16">
        <v>170</v>
      </c>
      <c r="J150" s="16">
        <v>196</v>
      </c>
      <c r="K150" s="16">
        <v>10</v>
      </c>
      <c r="L150" s="16">
        <v>11</v>
      </c>
    </row>
    <row r="151" spans="1:12" ht="14.55" customHeight="1" x14ac:dyDescent="0.3">
      <c r="A151" s="14">
        <v>46038</v>
      </c>
      <c r="B151" s="15">
        <v>46039.01458333333</v>
      </c>
      <c r="C151" s="16">
        <v>11</v>
      </c>
      <c r="D151" s="16" t="s">
        <v>70</v>
      </c>
      <c r="E151" s="16" t="s">
        <v>11</v>
      </c>
      <c r="F151" s="16" t="s">
        <v>50</v>
      </c>
      <c r="G151" s="16" t="s">
        <v>51</v>
      </c>
      <c r="H151" s="16">
        <v>15</v>
      </c>
      <c r="I151" s="16">
        <v>170</v>
      </c>
      <c r="J151" s="16">
        <v>201</v>
      </c>
      <c r="K151" s="16">
        <v>10</v>
      </c>
      <c r="L151" s="16">
        <v>14</v>
      </c>
    </row>
    <row r="152" spans="1:12" ht="14.55" customHeight="1" x14ac:dyDescent="0.3">
      <c r="A152" s="14">
        <v>46038</v>
      </c>
      <c r="B152" s="15">
        <v>46039.013888888891</v>
      </c>
      <c r="C152" s="16">
        <v>34</v>
      </c>
      <c r="D152" s="16" t="s">
        <v>70</v>
      </c>
      <c r="E152" s="16" t="s">
        <v>11</v>
      </c>
      <c r="F152" s="16" t="s">
        <v>78</v>
      </c>
      <c r="G152" s="16" t="s">
        <v>65</v>
      </c>
      <c r="H152" s="16">
        <v>7</v>
      </c>
      <c r="I152" s="16">
        <v>102</v>
      </c>
      <c r="J152" s="16">
        <v>128</v>
      </c>
      <c r="K152" s="16">
        <v>6.66</v>
      </c>
      <c r="L152" s="16">
        <v>12</v>
      </c>
    </row>
    <row r="153" spans="1:12" ht="14.55" customHeight="1" x14ac:dyDescent="0.3">
      <c r="A153" s="14">
        <v>46038</v>
      </c>
      <c r="B153" s="15">
        <v>46039.011805555558</v>
      </c>
      <c r="C153" s="16">
        <v>24</v>
      </c>
      <c r="D153" s="16" t="s">
        <v>70</v>
      </c>
      <c r="E153" s="16" t="s">
        <v>11</v>
      </c>
      <c r="F153" s="16" t="s">
        <v>56</v>
      </c>
      <c r="G153" s="16" t="s">
        <v>57</v>
      </c>
      <c r="H153" s="16">
        <v>24</v>
      </c>
      <c r="I153" s="16">
        <v>110</v>
      </c>
      <c r="J153" s="16">
        <v>116</v>
      </c>
      <c r="K153" s="16">
        <v>6.66</v>
      </c>
      <c r="L153" s="16">
        <v>6</v>
      </c>
    </row>
    <row r="154" spans="1:12" ht="14.55" customHeight="1" x14ac:dyDescent="0.3">
      <c r="A154" s="14">
        <v>46038</v>
      </c>
      <c r="B154" s="15">
        <v>46039.009722222225</v>
      </c>
      <c r="C154" s="16">
        <v>35</v>
      </c>
      <c r="D154" s="16" t="s">
        <v>70</v>
      </c>
      <c r="E154" s="16" t="s">
        <v>11</v>
      </c>
      <c r="F154" s="16" t="s">
        <v>73</v>
      </c>
      <c r="G154" s="16" t="s">
        <v>63</v>
      </c>
      <c r="H154" s="16">
        <v>14</v>
      </c>
      <c r="I154" s="16">
        <v>109</v>
      </c>
      <c r="J154" s="16">
        <v>122</v>
      </c>
      <c r="K154" s="16">
        <v>6.66</v>
      </c>
      <c r="L154" s="16">
        <v>5</v>
      </c>
    </row>
    <row r="155" spans="1:12" ht="14.55" customHeight="1" x14ac:dyDescent="0.3">
      <c r="A155" s="14">
        <v>46038</v>
      </c>
      <c r="B155" s="15">
        <v>46039.006249999999</v>
      </c>
      <c r="C155" s="16">
        <v>33</v>
      </c>
      <c r="D155" s="16" t="s">
        <v>70</v>
      </c>
      <c r="E155" s="16" t="s">
        <v>11</v>
      </c>
      <c r="F155" s="16" t="s">
        <v>64</v>
      </c>
      <c r="G155" s="16" t="s">
        <v>65</v>
      </c>
      <c r="H155" s="16">
        <v>9</v>
      </c>
      <c r="I155" s="16">
        <v>103</v>
      </c>
      <c r="J155" s="16">
        <v>111</v>
      </c>
      <c r="K155" s="16">
        <v>6.66</v>
      </c>
      <c r="L155" s="16">
        <v>5</v>
      </c>
    </row>
    <row r="156" spans="1:12" ht="14.55" customHeight="1" x14ac:dyDescent="0.3">
      <c r="A156" s="14">
        <v>46038</v>
      </c>
      <c r="B156" s="15">
        <v>46039.006249999999</v>
      </c>
      <c r="C156" s="16">
        <v>36</v>
      </c>
      <c r="D156" s="16" t="s">
        <v>70</v>
      </c>
      <c r="E156" s="16" t="s">
        <v>11</v>
      </c>
      <c r="F156" s="16" t="s">
        <v>72</v>
      </c>
      <c r="G156" s="16" t="s">
        <v>51</v>
      </c>
      <c r="H156" s="16">
        <v>270</v>
      </c>
      <c r="I156" s="16">
        <v>170</v>
      </c>
      <c r="J156" s="16">
        <v>176</v>
      </c>
      <c r="K156" s="16">
        <v>6.66</v>
      </c>
      <c r="L156" s="16">
        <v>9</v>
      </c>
    </row>
    <row r="157" spans="1:12" ht="14.55" customHeight="1" x14ac:dyDescent="0.3">
      <c r="A157" s="14">
        <v>46038</v>
      </c>
      <c r="B157" s="15">
        <v>46039.005555555559</v>
      </c>
      <c r="C157" s="16">
        <v>20</v>
      </c>
      <c r="D157" s="16" t="s">
        <v>70</v>
      </c>
      <c r="E157" s="16" t="s">
        <v>11</v>
      </c>
      <c r="F157" s="16" t="s">
        <v>69</v>
      </c>
      <c r="G157" s="16" t="s">
        <v>51</v>
      </c>
      <c r="H157" s="16">
        <v>15</v>
      </c>
      <c r="I157" s="16">
        <v>170</v>
      </c>
      <c r="J157" s="16">
        <v>169</v>
      </c>
      <c r="K157" s="16">
        <v>10</v>
      </c>
      <c r="L157" s="16">
        <v>7</v>
      </c>
    </row>
    <row r="158" spans="1:12" ht="14.55" customHeight="1" x14ac:dyDescent="0.3">
      <c r="A158" s="14">
        <v>46038</v>
      </c>
      <c r="B158" s="15">
        <v>46039.003472222219</v>
      </c>
      <c r="C158" s="16">
        <v>9</v>
      </c>
      <c r="D158" s="16" t="s">
        <v>70</v>
      </c>
      <c r="E158" s="16" t="s">
        <v>11</v>
      </c>
      <c r="F158" s="16" t="s">
        <v>50</v>
      </c>
      <c r="G158" s="16" t="s">
        <v>51</v>
      </c>
      <c r="H158" s="16">
        <v>15</v>
      </c>
      <c r="I158" s="16">
        <v>170</v>
      </c>
      <c r="J158" s="16">
        <v>171</v>
      </c>
      <c r="K158" s="16">
        <v>10</v>
      </c>
      <c r="L158" s="16">
        <v>8</v>
      </c>
    </row>
    <row r="159" spans="1:12" ht="14.55" customHeight="1" x14ac:dyDescent="0.3">
      <c r="A159" s="14">
        <v>46038</v>
      </c>
      <c r="B159" s="15">
        <v>46039.001388888886</v>
      </c>
      <c r="C159" s="16">
        <v>37</v>
      </c>
      <c r="D159" s="16" t="s">
        <v>70</v>
      </c>
      <c r="E159" s="16" t="s">
        <v>11</v>
      </c>
      <c r="F159" s="16" t="s">
        <v>52</v>
      </c>
      <c r="G159" s="16" t="s">
        <v>53</v>
      </c>
      <c r="H159" s="16">
        <v>5</v>
      </c>
      <c r="I159" s="16">
        <v>106</v>
      </c>
      <c r="J159" s="16">
        <v>104</v>
      </c>
      <c r="K159" s="16">
        <v>6.66</v>
      </c>
      <c r="L159" s="16">
        <v>2</v>
      </c>
    </row>
    <row r="160" spans="1:12" ht="14.55" customHeight="1" x14ac:dyDescent="0.3">
      <c r="A160" s="14">
        <v>46038</v>
      </c>
      <c r="B160" s="15">
        <v>46038.999305555553</v>
      </c>
      <c r="C160" s="16">
        <v>9</v>
      </c>
      <c r="D160" s="16" t="s">
        <v>70</v>
      </c>
      <c r="E160" s="16" t="s">
        <v>11</v>
      </c>
      <c r="F160" s="16" t="s">
        <v>50</v>
      </c>
      <c r="G160" s="16" t="s">
        <v>51</v>
      </c>
      <c r="H160" s="16">
        <v>15</v>
      </c>
      <c r="I160" s="16">
        <v>170</v>
      </c>
      <c r="J160" s="16">
        <v>171</v>
      </c>
      <c r="K160" s="16">
        <v>10</v>
      </c>
      <c r="L160" s="16">
        <v>8</v>
      </c>
    </row>
    <row r="161" spans="1:12" ht="14.55" customHeight="1" x14ac:dyDescent="0.3">
      <c r="A161" s="14">
        <v>46038</v>
      </c>
      <c r="B161" s="15">
        <v>46038.995833333334</v>
      </c>
      <c r="C161" s="16">
        <v>9</v>
      </c>
      <c r="D161" s="16" t="s">
        <v>70</v>
      </c>
      <c r="E161" s="16" t="s">
        <v>11</v>
      </c>
      <c r="F161" s="16" t="s">
        <v>50</v>
      </c>
      <c r="G161" s="16" t="s">
        <v>51</v>
      </c>
      <c r="H161" s="16">
        <v>15</v>
      </c>
      <c r="I161" s="16">
        <v>170</v>
      </c>
      <c r="J161" s="16">
        <v>175</v>
      </c>
      <c r="K161" s="16">
        <v>10</v>
      </c>
      <c r="L161" s="16">
        <v>7</v>
      </c>
    </row>
    <row r="162" spans="1:12" ht="14.55" customHeight="1" x14ac:dyDescent="0.3">
      <c r="A162" s="14">
        <v>46038</v>
      </c>
      <c r="B162" s="15">
        <v>46038.993055555555</v>
      </c>
      <c r="C162" s="16">
        <v>20</v>
      </c>
      <c r="D162" s="16" t="s">
        <v>70</v>
      </c>
      <c r="E162" s="16" t="s">
        <v>11</v>
      </c>
      <c r="F162" s="16" t="s">
        <v>69</v>
      </c>
      <c r="G162" s="16" t="s">
        <v>51</v>
      </c>
      <c r="H162" s="16">
        <v>15</v>
      </c>
      <c r="I162" s="16">
        <v>170</v>
      </c>
      <c r="J162" s="16">
        <v>187</v>
      </c>
      <c r="K162" s="16">
        <v>10</v>
      </c>
      <c r="L162" s="16">
        <v>10</v>
      </c>
    </row>
    <row r="163" spans="1:12" ht="14.55" customHeight="1" x14ac:dyDescent="0.3">
      <c r="A163" s="14">
        <v>46038</v>
      </c>
      <c r="B163" s="15">
        <v>46038.990972222222</v>
      </c>
      <c r="C163" s="16">
        <v>9</v>
      </c>
      <c r="D163" s="16" t="s">
        <v>70</v>
      </c>
      <c r="E163" s="16" t="s">
        <v>11</v>
      </c>
      <c r="F163" s="16" t="s">
        <v>50</v>
      </c>
      <c r="G163" s="16" t="s">
        <v>51</v>
      </c>
      <c r="H163" s="16">
        <v>15</v>
      </c>
      <c r="I163" s="16">
        <v>170</v>
      </c>
      <c r="J163" s="16">
        <v>182</v>
      </c>
      <c r="K163" s="16">
        <v>10</v>
      </c>
      <c r="L163" s="16">
        <v>7</v>
      </c>
    </row>
    <row r="164" spans="1:12" ht="14.55" customHeight="1" x14ac:dyDescent="0.3">
      <c r="A164" s="14">
        <v>46038</v>
      </c>
      <c r="B164" s="15">
        <v>46038.988194444442</v>
      </c>
      <c r="C164" s="16">
        <v>38</v>
      </c>
      <c r="D164" s="16" t="s">
        <v>70</v>
      </c>
      <c r="E164" s="16" t="s">
        <v>11</v>
      </c>
      <c r="F164" s="16" t="s">
        <v>52</v>
      </c>
      <c r="G164" s="16" t="s">
        <v>53</v>
      </c>
      <c r="H164" s="16">
        <v>5</v>
      </c>
      <c r="I164" s="16">
        <v>106</v>
      </c>
      <c r="J164" s="16">
        <v>110</v>
      </c>
      <c r="K164" s="16">
        <v>6.66</v>
      </c>
      <c r="L164" s="16">
        <v>3</v>
      </c>
    </row>
    <row r="165" spans="1:12" ht="14.55" customHeight="1" x14ac:dyDescent="0.3">
      <c r="A165" s="14">
        <v>46038</v>
      </c>
      <c r="B165" s="15">
        <v>46038.986805555556</v>
      </c>
      <c r="C165" s="16">
        <v>37</v>
      </c>
      <c r="D165" s="16" t="s">
        <v>70</v>
      </c>
      <c r="E165" s="16" t="s">
        <v>11</v>
      </c>
      <c r="F165" s="16" t="s">
        <v>52</v>
      </c>
      <c r="G165" s="16" t="s">
        <v>53</v>
      </c>
      <c r="H165" s="16">
        <v>5</v>
      </c>
      <c r="I165" s="16">
        <v>106</v>
      </c>
      <c r="J165" s="16">
        <v>104</v>
      </c>
      <c r="K165" s="16">
        <v>6.66</v>
      </c>
      <c r="L165" s="16">
        <v>4</v>
      </c>
    </row>
    <row r="166" spans="1:12" ht="14.55" customHeight="1" x14ac:dyDescent="0.3">
      <c r="A166" s="14">
        <v>46038</v>
      </c>
      <c r="B166" s="15">
        <v>46038.980555555558</v>
      </c>
      <c r="C166" s="16">
        <v>26</v>
      </c>
      <c r="D166" s="16" t="s">
        <v>70</v>
      </c>
      <c r="E166" s="16" t="s">
        <v>11</v>
      </c>
      <c r="F166" s="16" t="s">
        <v>50</v>
      </c>
      <c r="G166" s="16" t="s">
        <v>51</v>
      </c>
      <c r="H166" s="16">
        <v>15</v>
      </c>
      <c r="I166" s="16">
        <v>170</v>
      </c>
      <c r="J166" s="16">
        <v>177</v>
      </c>
      <c r="K166" s="16">
        <v>10</v>
      </c>
      <c r="L166" s="16">
        <v>5</v>
      </c>
    </row>
    <row r="167" spans="1:12" ht="14.55" customHeight="1" x14ac:dyDescent="0.3">
      <c r="A167" s="14">
        <v>46038</v>
      </c>
      <c r="B167" s="15">
        <v>46038.977083333331</v>
      </c>
      <c r="C167" s="16">
        <v>38</v>
      </c>
      <c r="D167" s="16" t="s">
        <v>70</v>
      </c>
      <c r="E167" s="16" t="s">
        <v>11</v>
      </c>
      <c r="F167" s="16" t="s">
        <v>52</v>
      </c>
      <c r="G167" s="16" t="s">
        <v>53</v>
      </c>
      <c r="H167" s="16">
        <v>5</v>
      </c>
      <c r="I167" s="16">
        <v>106</v>
      </c>
      <c r="J167" s="16">
        <v>111</v>
      </c>
      <c r="K167" s="16">
        <v>6.66</v>
      </c>
      <c r="L167" s="16">
        <v>4</v>
      </c>
    </row>
    <row r="168" spans="1:12" ht="14.55" customHeight="1" x14ac:dyDescent="0.3">
      <c r="A168" s="14">
        <v>46038</v>
      </c>
      <c r="B168" s="15">
        <v>46038.973611111112</v>
      </c>
      <c r="C168" s="16">
        <v>38</v>
      </c>
      <c r="D168" s="16" t="s">
        <v>70</v>
      </c>
      <c r="E168" s="16" t="s">
        <v>11</v>
      </c>
      <c r="F168" s="16" t="s">
        <v>52</v>
      </c>
      <c r="G168" s="16" t="s">
        <v>53</v>
      </c>
      <c r="H168" s="16">
        <v>5</v>
      </c>
      <c r="I168" s="16">
        <v>106</v>
      </c>
      <c r="J168" s="16">
        <v>115</v>
      </c>
      <c r="K168" s="16">
        <v>6.66</v>
      </c>
      <c r="L168" s="16">
        <v>3</v>
      </c>
    </row>
    <row r="169" spans="1:12" ht="14.55" customHeight="1" x14ac:dyDescent="0.3">
      <c r="A169" s="14">
        <v>46038</v>
      </c>
      <c r="B169" s="15">
        <v>46038.972222222219</v>
      </c>
      <c r="C169" s="16">
        <v>20</v>
      </c>
      <c r="D169" s="16" t="s">
        <v>70</v>
      </c>
      <c r="E169" s="16" t="s">
        <v>11</v>
      </c>
      <c r="F169" s="16" t="s">
        <v>69</v>
      </c>
      <c r="G169" s="16" t="s">
        <v>51</v>
      </c>
      <c r="H169" s="16">
        <v>15</v>
      </c>
      <c r="I169" s="16">
        <v>170</v>
      </c>
      <c r="J169" s="16">
        <v>188</v>
      </c>
      <c r="K169" s="16">
        <v>10</v>
      </c>
      <c r="L169" s="16">
        <v>11</v>
      </c>
    </row>
    <row r="170" spans="1:12" ht="14.55" customHeight="1" x14ac:dyDescent="0.3">
      <c r="A170" s="14">
        <v>46038</v>
      </c>
      <c r="B170" s="15">
        <v>46038.970833333333</v>
      </c>
      <c r="C170" s="16">
        <v>24</v>
      </c>
      <c r="D170" s="16" t="s">
        <v>70</v>
      </c>
      <c r="E170" s="16" t="s">
        <v>11</v>
      </c>
      <c r="F170" s="16" t="s">
        <v>56</v>
      </c>
      <c r="G170" s="16" t="s">
        <v>57</v>
      </c>
      <c r="H170" s="16">
        <v>24</v>
      </c>
      <c r="I170" s="16">
        <v>110</v>
      </c>
      <c r="J170" s="16">
        <v>117</v>
      </c>
      <c r="K170" s="16">
        <v>6.66</v>
      </c>
      <c r="L170" s="16">
        <v>7</v>
      </c>
    </row>
    <row r="171" spans="1:12" ht="14.55" customHeight="1" x14ac:dyDescent="0.3">
      <c r="A171" s="14">
        <v>46038</v>
      </c>
      <c r="B171" s="15">
        <v>46038.969444444447</v>
      </c>
      <c r="C171" s="16">
        <v>38</v>
      </c>
      <c r="D171" s="16" t="s">
        <v>70</v>
      </c>
      <c r="E171" s="16" t="s">
        <v>11</v>
      </c>
      <c r="F171" s="16" t="s">
        <v>52</v>
      </c>
      <c r="G171" s="16" t="s">
        <v>53</v>
      </c>
      <c r="H171" s="16">
        <v>5</v>
      </c>
      <c r="I171" s="16">
        <v>106</v>
      </c>
      <c r="J171" s="16">
        <v>108</v>
      </c>
      <c r="K171" s="16">
        <v>6.66</v>
      </c>
      <c r="L171" s="16">
        <v>4</v>
      </c>
    </row>
    <row r="172" spans="1:12" ht="14.55" customHeight="1" x14ac:dyDescent="0.3">
      <c r="A172" s="14">
        <v>46038</v>
      </c>
      <c r="B172" s="15">
        <v>46038.968055555553</v>
      </c>
      <c r="C172" s="16">
        <v>33</v>
      </c>
      <c r="D172" s="16" t="s">
        <v>70</v>
      </c>
      <c r="E172" s="16" t="s">
        <v>11</v>
      </c>
      <c r="F172" s="16" t="s">
        <v>64</v>
      </c>
      <c r="G172" s="16" t="s">
        <v>65</v>
      </c>
      <c r="H172" s="16">
        <v>9</v>
      </c>
      <c r="I172" s="16">
        <v>103</v>
      </c>
      <c r="J172" s="16">
        <v>117</v>
      </c>
      <c r="K172" s="16">
        <v>6.66</v>
      </c>
      <c r="L172" s="16">
        <v>4</v>
      </c>
    </row>
    <row r="173" spans="1:12" ht="14.55" customHeight="1" x14ac:dyDescent="0.3">
      <c r="A173" s="14">
        <v>46038</v>
      </c>
      <c r="B173" s="15">
        <v>46038.967361111114</v>
      </c>
      <c r="C173" s="16">
        <v>10</v>
      </c>
      <c r="D173" s="16" t="s">
        <v>70</v>
      </c>
      <c r="E173" s="16" t="s">
        <v>11</v>
      </c>
      <c r="F173" s="16" t="s">
        <v>54</v>
      </c>
      <c r="G173" s="16" t="s">
        <v>55</v>
      </c>
      <c r="H173" s="16">
        <v>2</v>
      </c>
      <c r="I173" s="16">
        <v>110</v>
      </c>
      <c r="J173" s="16">
        <v>115</v>
      </c>
      <c r="K173" s="16">
        <v>6.66</v>
      </c>
      <c r="L173" s="16">
        <v>1</v>
      </c>
    </row>
    <row r="174" spans="1:12" ht="14.55" customHeight="1" x14ac:dyDescent="0.3">
      <c r="A174" s="14">
        <v>46038</v>
      </c>
      <c r="B174" s="15">
        <v>46038.967361111114</v>
      </c>
      <c r="C174" s="16">
        <v>24</v>
      </c>
      <c r="D174" s="16" t="s">
        <v>70</v>
      </c>
      <c r="E174" s="16" t="s">
        <v>11</v>
      </c>
      <c r="F174" s="16" t="s">
        <v>56</v>
      </c>
      <c r="G174" s="16" t="s">
        <v>57</v>
      </c>
      <c r="H174" s="16">
        <v>24</v>
      </c>
      <c r="I174" s="16">
        <v>110</v>
      </c>
      <c r="J174" s="16">
        <v>118</v>
      </c>
      <c r="K174" s="16">
        <v>6.66</v>
      </c>
      <c r="L174" s="16">
        <v>8</v>
      </c>
    </row>
    <row r="175" spans="1:12" ht="14.55" customHeight="1" x14ac:dyDescent="0.3">
      <c r="A175" s="14">
        <v>46038</v>
      </c>
      <c r="B175" s="15">
        <v>46038.96597222222</v>
      </c>
      <c r="C175" s="16">
        <v>33</v>
      </c>
      <c r="D175" s="16" t="s">
        <v>70</v>
      </c>
      <c r="E175" s="16" t="s">
        <v>11</v>
      </c>
      <c r="F175" s="16" t="s">
        <v>64</v>
      </c>
      <c r="G175" s="16" t="s">
        <v>65</v>
      </c>
      <c r="H175" s="16">
        <v>9</v>
      </c>
      <c r="I175" s="16">
        <v>103</v>
      </c>
      <c r="J175" s="16">
        <v>113</v>
      </c>
      <c r="K175" s="16">
        <v>6.66</v>
      </c>
      <c r="L175" s="16">
        <v>6</v>
      </c>
    </row>
    <row r="176" spans="1:12" ht="14.55" customHeight="1" x14ac:dyDescent="0.3">
      <c r="A176" s="14">
        <v>46038</v>
      </c>
      <c r="B176" s="15">
        <v>46038.96597222222</v>
      </c>
      <c r="C176" s="16">
        <v>35</v>
      </c>
      <c r="D176" s="16" t="s">
        <v>70</v>
      </c>
      <c r="E176" s="16" t="s">
        <v>11</v>
      </c>
      <c r="F176" s="16" t="s">
        <v>73</v>
      </c>
      <c r="G176" s="16" t="s">
        <v>63</v>
      </c>
      <c r="H176" s="16">
        <v>14</v>
      </c>
      <c r="I176" s="16">
        <v>109</v>
      </c>
      <c r="J176" s="16">
        <v>128</v>
      </c>
      <c r="K176" s="16">
        <v>6.66</v>
      </c>
      <c r="L176" s="16">
        <v>5</v>
      </c>
    </row>
    <row r="177" spans="1:12" ht="14.55" customHeight="1" x14ac:dyDescent="0.3">
      <c r="A177" s="14">
        <v>46038</v>
      </c>
      <c r="B177" s="15">
        <v>46038.96597222222</v>
      </c>
      <c r="C177" s="16">
        <v>11</v>
      </c>
      <c r="D177" s="16" t="s">
        <v>70</v>
      </c>
      <c r="E177" s="16" t="s">
        <v>11</v>
      </c>
      <c r="F177" s="16" t="s">
        <v>50</v>
      </c>
      <c r="G177" s="16" t="s">
        <v>51</v>
      </c>
      <c r="H177" s="16">
        <v>15</v>
      </c>
      <c r="I177" s="16">
        <v>170</v>
      </c>
      <c r="J177" s="16">
        <v>182</v>
      </c>
      <c r="K177" s="16">
        <v>10</v>
      </c>
      <c r="L177" s="16">
        <v>8</v>
      </c>
    </row>
    <row r="178" spans="1:12" ht="14.55" customHeight="1" x14ac:dyDescent="0.3">
      <c r="A178" s="14">
        <v>46038</v>
      </c>
      <c r="B178" s="15">
        <v>46038.964583333334</v>
      </c>
      <c r="C178" s="16">
        <v>26</v>
      </c>
      <c r="D178" s="16" t="s">
        <v>70</v>
      </c>
      <c r="E178" s="16" t="s">
        <v>11</v>
      </c>
      <c r="F178" s="16" t="s">
        <v>50</v>
      </c>
      <c r="G178" s="16" t="s">
        <v>51</v>
      </c>
      <c r="H178" s="16">
        <v>15</v>
      </c>
      <c r="I178" s="16">
        <v>170</v>
      </c>
      <c r="J178" s="16">
        <v>183</v>
      </c>
      <c r="K178" s="16">
        <v>10</v>
      </c>
      <c r="L178" s="16">
        <v>5</v>
      </c>
    </row>
    <row r="179" spans="1:12" ht="14.55" customHeight="1" x14ac:dyDescent="0.3">
      <c r="A179" s="14">
        <v>46038</v>
      </c>
      <c r="B179" s="15">
        <v>46038.963888888888</v>
      </c>
      <c r="C179" s="16">
        <v>35</v>
      </c>
      <c r="D179" s="16" t="s">
        <v>70</v>
      </c>
      <c r="E179" s="16" t="s">
        <v>11</v>
      </c>
      <c r="F179" s="16" t="s">
        <v>73</v>
      </c>
      <c r="G179" s="16" t="s">
        <v>63</v>
      </c>
      <c r="H179" s="16">
        <v>14</v>
      </c>
      <c r="I179" s="16">
        <v>109</v>
      </c>
      <c r="J179" s="16">
        <v>126</v>
      </c>
      <c r="K179" s="16">
        <v>6.66</v>
      </c>
      <c r="L179" s="16">
        <v>7</v>
      </c>
    </row>
    <row r="180" spans="1:12" ht="14.55" customHeight="1" x14ac:dyDescent="0.3">
      <c r="A180" s="14">
        <v>46038</v>
      </c>
      <c r="B180" s="15">
        <v>46038.963194444441</v>
      </c>
      <c r="C180" s="16">
        <v>11</v>
      </c>
      <c r="D180" s="16" t="s">
        <v>70</v>
      </c>
      <c r="E180" s="16" t="s">
        <v>11</v>
      </c>
      <c r="F180" s="16" t="s">
        <v>50</v>
      </c>
      <c r="G180" s="16" t="s">
        <v>51</v>
      </c>
      <c r="H180" s="16">
        <v>15</v>
      </c>
      <c r="I180" s="16">
        <v>170</v>
      </c>
      <c r="J180" s="16">
        <v>173</v>
      </c>
      <c r="K180" s="16">
        <v>10</v>
      </c>
      <c r="L180" s="16">
        <v>9</v>
      </c>
    </row>
    <row r="181" spans="1:12" ht="14.55" customHeight="1" x14ac:dyDescent="0.3">
      <c r="A181" s="14">
        <v>46038</v>
      </c>
      <c r="B181" s="15">
        <v>46038.943055555559</v>
      </c>
      <c r="C181" s="16">
        <v>36</v>
      </c>
      <c r="D181" s="16" t="s">
        <v>8</v>
      </c>
      <c r="E181" s="16" t="s">
        <v>5</v>
      </c>
      <c r="F181" s="16" t="s">
        <v>72</v>
      </c>
      <c r="G181" s="16" t="s">
        <v>51</v>
      </c>
      <c r="H181" s="16">
        <v>270</v>
      </c>
      <c r="I181" s="16">
        <v>170</v>
      </c>
      <c r="J181" s="16">
        <v>179</v>
      </c>
      <c r="K181" s="16">
        <v>6.66</v>
      </c>
      <c r="L181" s="16">
        <v>8</v>
      </c>
    </row>
    <row r="182" spans="1:12" ht="14.55" customHeight="1" x14ac:dyDescent="0.3">
      <c r="A182" s="14">
        <v>46038</v>
      </c>
      <c r="B182" s="15">
        <v>46038.9375</v>
      </c>
      <c r="C182" s="16">
        <v>35</v>
      </c>
      <c r="D182" s="16" t="s">
        <v>8</v>
      </c>
      <c r="E182" s="16" t="s">
        <v>5</v>
      </c>
      <c r="F182" s="16" t="s">
        <v>73</v>
      </c>
      <c r="G182" s="16" t="s">
        <v>63</v>
      </c>
      <c r="H182" s="16">
        <v>14</v>
      </c>
      <c r="I182" s="16">
        <v>109</v>
      </c>
      <c r="J182" s="16">
        <v>126</v>
      </c>
      <c r="K182" s="16">
        <v>6.66</v>
      </c>
      <c r="L182" s="16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A46B-2658-486C-B31B-2710F4F91C25}">
  <dimension ref="A2:E22"/>
  <sheetViews>
    <sheetView workbookViewId="0">
      <selection activeCell="A2" sqref="A2:E22"/>
    </sheetView>
  </sheetViews>
  <sheetFormatPr defaultRowHeight="14.4" x14ac:dyDescent="0.3"/>
  <cols>
    <col min="2" max="2" width="16.21875" bestFit="1" customWidth="1"/>
    <col min="3" max="3" width="15.6640625" bestFit="1" customWidth="1"/>
    <col min="4" max="4" width="17.21875" bestFit="1" customWidth="1"/>
    <col min="5" max="5" width="12.33203125" bestFit="1" customWidth="1"/>
  </cols>
  <sheetData>
    <row r="2" spans="1:5" x14ac:dyDescent="0.3">
      <c r="A2" s="11"/>
      <c r="B2" s="11"/>
      <c r="C2" s="11" t="s">
        <v>86</v>
      </c>
      <c r="D2" s="11"/>
      <c r="E2" s="11"/>
    </row>
    <row r="3" spans="1:5" x14ac:dyDescent="0.3">
      <c r="A3" s="11" t="s">
        <v>107</v>
      </c>
      <c r="B3" s="11" t="s">
        <v>108</v>
      </c>
      <c r="C3" s="11" t="s">
        <v>111</v>
      </c>
      <c r="D3" s="11" t="s">
        <v>114</v>
      </c>
      <c r="E3" s="11" t="s">
        <v>99</v>
      </c>
    </row>
    <row r="4" spans="1:5" x14ac:dyDescent="0.3">
      <c r="A4" s="12">
        <v>9</v>
      </c>
      <c r="B4" s="6" t="s">
        <v>50</v>
      </c>
      <c r="C4" s="32">
        <v>170</v>
      </c>
      <c r="D4" s="39">
        <v>172.86842105263159</v>
      </c>
      <c r="E4" s="39">
        <v>7.5</v>
      </c>
    </row>
    <row r="5" spans="1:5" x14ac:dyDescent="0.3">
      <c r="A5" s="12">
        <v>10</v>
      </c>
      <c r="B5" s="6" t="s">
        <v>54</v>
      </c>
      <c r="C5" s="32">
        <v>110</v>
      </c>
      <c r="D5" s="39">
        <v>112.58823529411765</v>
      </c>
      <c r="E5" s="39">
        <v>3.4705882352941178</v>
      </c>
    </row>
    <row r="6" spans="1:5" x14ac:dyDescent="0.3">
      <c r="A6" s="12">
        <v>20</v>
      </c>
      <c r="B6" s="6" t="s">
        <v>69</v>
      </c>
      <c r="C6" s="32">
        <v>170</v>
      </c>
      <c r="D6" s="39">
        <v>174.57575757575756</v>
      </c>
      <c r="E6" s="39">
        <v>10.121212121212121</v>
      </c>
    </row>
    <row r="7" spans="1:5" x14ac:dyDescent="0.3">
      <c r="A7" s="12">
        <v>22</v>
      </c>
      <c r="B7" s="6" t="s">
        <v>90</v>
      </c>
      <c r="C7" s="6">
        <v>90</v>
      </c>
      <c r="D7" s="17">
        <v>95.071428571428569</v>
      </c>
      <c r="E7" s="17">
        <v>8.0714285714285712</v>
      </c>
    </row>
    <row r="8" spans="1:5" x14ac:dyDescent="0.3">
      <c r="A8" s="12">
        <v>24</v>
      </c>
      <c r="B8" s="6" t="s">
        <v>56</v>
      </c>
      <c r="C8" s="32">
        <v>110</v>
      </c>
      <c r="D8" s="39">
        <v>118.5</v>
      </c>
      <c r="E8" s="39">
        <v>6.2</v>
      </c>
    </row>
    <row r="9" spans="1:5" x14ac:dyDescent="0.3">
      <c r="A9" s="12">
        <v>25</v>
      </c>
      <c r="B9" s="6" t="s">
        <v>58</v>
      </c>
      <c r="C9" s="32">
        <v>104</v>
      </c>
      <c r="D9" s="39">
        <v>110.57142857142857</v>
      </c>
      <c r="E9" s="39">
        <v>5.2857142857142856</v>
      </c>
    </row>
    <row r="10" spans="1:5" x14ac:dyDescent="0.3">
      <c r="A10" s="12">
        <v>26</v>
      </c>
      <c r="B10" s="6" t="s">
        <v>50</v>
      </c>
      <c r="C10" s="32">
        <v>170</v>
      </c>
      <c r="D10" s="39">
        <v>180.41379310344828</v>
      </c>
      <c r="E10" s="39">
        <v>7.6896551724137927</v>
      </c>
    </row>
    <row r="11" spans="1:5" x14ac:dyDescent="0.3">
      <c r="A11" s="12">
        <v>31</v>
      </c>
      <c r="B11" s="6" t="s">
        <v>92</v>
      </c>
      <c r="C11" s="6">
        <v>95</v>
      </c>
      <c r="D11" s="17">
        <v>102.14285714285714</v>
      </c>
      <c r="E11" s="17">
        <v>9.1428571428571423</v>
      </c>
    </row>
    <row r="12" spans="1:5" x14ac:dyDescent="0.3">
      <c r="A12" s="12"/>
      <c r="B12" s="6" t="s">
        <v>101</v>
      </c>
      <c r="C12" s="6">
        <v>100</v>
      </c>
      <c r="D12" s="17">
        <v>86.25</v>
      </c>
      <c r="E12" s="17">
        <v>9.375</v>
      </c>
    </row>
    <row r="13" spans="1:5" x14ac:dyDescent="0.3">
      <c r="A13" s="12">
        <v>33</v>
      </c>
      <c r="B13" s="6" t="s">
        <v>64</v>
      </c>
      <c r="C13" s="32">
        <v>103</v>
      </c>
      <c r="D13" s="39">
        <v>110.57142857142857</v>
      </c>
      <c r="E13" s="39">
        <v>5.1142857142857139</v>
      </c>
    </row>
    <row r="14" spans="1:5" x14ac:dyDescent="0.3">
      <c r="A14" s="12">
        <v>34</v>
      </c>
      <c r="B14" s="6" t="s">
        <v>78</v>
      </c>
      <c r="C14" s="32">
        <v>102</v>
      </c>
      <c r="D14" s="39">
        <v>117.5</v>
      </c>
      <c r="E14" s="39">
        <v>7</v>
      </c>
    </row>
    <row r="15" spans="1:5" x14ac:dyDescent="0.3">
      <c r="A15" s="12"/>
      <c r="B15" s="6" t="s">
        <v>71</v>
      </c>
      <c r="C15" s="32">
        <v>109</v>
      </c>
      <c r="D15" s="39">
        <v>112</v>
      </c>
      <c r="E15" s="39">
        <v>3.1666666666666665</v>
      </c>
    </row>
    <row r="16" spans="1:5" x14ac:dyDescent="0.3">
      <c r="A16" s="12">
        <v>35</v>
      </c>
      <c r="B16" s="6" t="s">
        <v>62</v>
      </c>
      <c r="C16" s="32">
        <v>109</v>
      </c>
      <c r="D16" s="39">
        <v>119.33333333333333</v>
      </c>
      <c r="E16" s="39">
        <v>3.6666666666666665</v>
      </c>
    </row>
    <row r="17" spans="1:5" x14ac:dyDescent="0.3">
      <c r="A17" s="12"/>
      <c r="B17" s="6" t="s">
        <v>73</v>
      </c>
      <c r="C17" s="6">
        <v>109</v>
      </c>
      <c r="D17" s="17">
        <v>122.26315789473684</v>
      </c>
      <c r="E17" s="17">
        <v>4.5789473684210522</v>
      </c>
    </row>
    <row r="18" spans="1:5" x14ac:dyDescent="0.3">
      <c r="A18" s="12">
        <v>36</v>
      </c>
      <c r="B18" s="6" t="s">
        <v>72</v>
      </c>
      <c r="C18" s="32">
        <v>170</v>
      </c>
      <c r="D18" s="39">
        <v>175.35714285714286</v>
      </c>
      <c r="E18" s="39">
        <v>9.8809523809523814</v>
      </c>
    </row>
    <row r="19" spans="1:5" x14ac:dyDescent="0.3">
      <c r="A19" s="12">
        <v>37</v>
      </c>
      <c r="B19" s="6" t="s">
        <v>52</v>
      </c>
      <c r="C19" s="32">
        <v>106</v>
      </c>
      <c r="D19" s="39">
        <v>109.23333333333333</v>
      </c>
      <c r="E19" s="39">
        <v>3.2666666666666666</v>
      </c>
    </row>
    <row r="20" spans="1:5" x14ac:dyDescent="0.3">
      <c r="A20" s="12">
        <v>38</v>
      </c>
      <c r="B20" s="6" t="s">
        <v>52</v>
      </c>
      <c r="C20" s="32">
        <v>106</v>
      </c>
      <c r="D20" s="39">
        <v>109.95652173913044</v>
      </c>
      <c r="E20" s="39">
        <v>3.5652173913043477</v>
      </c>
    </row>
    <row r="21" spans="1:5" x14ac:dyDescent="0.3">
      <c r="A21" s="12"/>
      <c r="B21" s="6" t="s">
        <v>76</v>
      </c>
      <c r="C21" s="32">
        <v>105</v>
      </c>
      <c r="D21" s="39">
        <v>121</v>
      </c>
      <c r="E21" s="39">
        <v>3.8333333333333335</v>
      </c>
    </row>
    <row r="22" spans="1:5" x14ac:dyDescent="0.3">
      <c r="A22" s="12">
        <v>11</v>
      </c>
      <c r="B22" s="6" t="s">
        <v>50</v>
      </c>
      <c r="C22" s="6">
        <v>170</v>
      </c>
      <c r="D22" s="17">
        <v>186.03030303030303</v>
      </c>
      <c r="E22" s="17">
        <v>10.454545454545455</v>
      </c>
    </row>
  </sheetData>
  <conditionalFormatting sqref="E2:E3">
    <cfRule type="cellIs" dxfId="6" priority="1" operator="greaterThan">
      <formula>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572-8D5A-4C16-B556-396D802556E7}">
  <dimension ref="A1:I125"/>
  <sheetViews>
    <sheetView workbookViewId="0">
      <selection activeCell="I2" sqref="I2"/>
    </sheetView>
  </sheetViews>
  <sheetFormatPr defaultRowHeight="14.4" x14ac:dyDescent="0.3"/>
  <cols>
    <col min="1" max="1" width="10.44140625" bestFit="1" customWidth="1"/>
    <col min="2" max="2" width="15.5546875" bestFit="1" customWidth="1"/>
    <col min="7" max="7" width="33.77734375" customWidth="1"/>
  </cols>
  <sheetData>
    <row r="1" spans="1:9" x14ac:dyDescent="0.3">
      <c r="A1" t="s">
        <v>132</v>
      </c>
      <c r="B1" t="s">
        <v>81</v>
      </c>
      <c r="C1" t="s">
        <v>18</v>
      </c>
      <c r="D1" t="s">
        <v>19</v>
      </c>
      <c r="E1" t="s">
        <v>134</v>
      </c>
      <c r="F1" t="s">
        <v>133</v>
      </c>
      <c r="G1" t="s">
        <v>135</v>
      </c>
      <c r="H1" t="s">
        <v>95</v>
      </c>
      <c r="I1" t="s">
        <v>136</v>
      </c>
    </row>
    <row r="2" spans="1:9" ht="19.95" customHeight="1" x14ac:dyDescent="0.3">
      <c r="A2" s="14">
        <v>46036</v>
      </c>
      <c r="B2" s="15">
        <v>46036.976388888892</v>
      </c>
      <c r="C2" s="16" t="s">
        <v>70</v>
      </c>
      <c r="D2" s="16" t="s">
        <v>11</v>
      </c>
      <c r="E2" s="16">
        <v>422</v>
      </c>
      <c r="F2" s="16">
        <v>3586</v>
      </c>
      <c r="G2" s="16" t="s">
        <v>115</v>
      </c>
      <c r="H2" s="16">
        <v>7</v>
      </c>
      <c r="I2" s="16">
        <v>24.4</v>
      </c>
    </row>
    <row r="3" spans="1:9" ht="19.95" customHeight="1" x14ac:dyDescent="0.3">
      <c r="A3" s="14">
        <v>46036</v>
      </c>
      <c r="B3" s="15">
        <v>46036.974999999999</v>
      </c>
      <c r="C3" s="16" t="s">
        <v>70</v>
      </c>
      <c r="D3" s="16" t="s">
        <v>11</v>
      </c>
      <c r="E3" s="16">
        <v>421</v>
      </c>
      <c r="F3" s="16">
        <v>3586</v>
      </c>
      <c r="G3" s="16" t="s">
        <v>115</v>
      </c>
      <c r="H3" s="16">
        <v>7</v>
      </c>
      <c r="I3" s="16">
        <v>20.399999999999999</v>
      </c>
    </row>
    <row r="4" spans="1:9" ht="19.95" customHeight="1" x14ac:dyDescent="0.3">
      <c r="A4" s="14">
        <v>46036</v>
      </c>
      <c r="B4" s="15">
        <v>46036.938888888886</v>
      </c>
      <c r="C4" s="16" t="s">
        <v>8</v>
      </c>
      <c r="D4" s="16" t="s">
        <v>5</v>
      </c>
      <c r="E4" s="16">
        <v>94</v>
      </c>
      <c r="F4" s="16">
        <v>3624</v>
      </c>
      <c r="G4" s="16" t="s">
        <v>116</v>
      </c>
      <c r="H4" s="16">
        <v>12</v>
      </c>
      <c r="I4" s="16">
        <v>10</v>
      </c>
    </row>
    <row r="5" spans="1:9" ht="19.95" customHeight="1" x14ac:dyDescent="0.3">
      <c r="A5" s="14">
        <v>46036</v>
      </c>
      <c r="B5" s="15">
        <v>46036.938194444447</v>
      </c>
      <c r="C5" s="16" t="s">
        <v>8</v>
      </c>
      <c r="D5" s="16" t="s">
        <v>5</v>
      </c>
      <c r="E5" s="16">
        <v>94</v>
      </c>
      <c r="F5" s="16">
        <v>3624</v>
      </c>
      <c r="G5" s="16" t="s">
        <v>116</v>
      </c>
      <c r="H5" s="16">
        <v>12</v>
      </c>
      <c r="I5" s="16">
        <v>10</v>
      </c>
    </row>
    <row r="6" spans="1:9" ht="19.95" customHeight="1" x14ac:dyDescent="0.3">
      <c r="A6" s="14">
        <v>46036</v>
      </c>
      <c r="B6" s="15">
        <v>46036.899305555555</v>
      </c>
      <c r="C6" s="16" t="s">
        <v>8</v>
      </c>
      <c r="D6" s="16" t="s">
        <v>5</v>
      </c>
      <c r="E6" s="16">
        <v>55</v>
      </c>
      <c r="F6" s="16">
        <v>3719</v>
      </c>
      <c r="G6" s="16" t="s">
        <v>117</v>
      </c>
      <c r="H6" s="16">
        <v>12</v>
      </c>
      <c r="I6" s="16">
        <v>15</v>
      </c>
    </row>
    <row r="7" spans="1:9" ht="19.95" customHeight="1" x14ac:dyDescent="0.3">
      <c r="A7" s="14">
        <v>46036</v>
      </c>
      <c r="B7" s="15">
        <v>46036.881249999999</v>
      </c>
      <c r="C7" s="16" t="s">
        <v>8</v>
      </c>
      <c r="D7" s="16" t="s">
        <v>5</v>
      </c>
      <c r="E7" s="16">
        <v>60</v>
      </c>
      <c r="F7" s="16">
        <v>3610</v>
      </c>
      <c r="G7" s="16" t="s">
        <v>118</v>
      </c>
      <c r="H7" s="16">
        <v>7</v>
      </c>
      <c r="I7" s="16">
        <v>16</v>
      </c>
    </row>
    <row r="8" spans="1:9" ht="19.95" customHeight="1" x14ac:dyDescent="0.3">
      <c r="A8" s="14">
        <v>46036</v>
      </c>
      <c r="B8" s="15">
        <v>46036.87222222222</v>
      </c>
      <c r="C8" s="16" t="s">
        <v>8</v>
      </c>
      <c r="D8" s="16" t="s">
        <v>5</v>
      </c>
      <c r="E8" s="16">
        <v>422</v>
      </c>
      <c r="F8" s="16">
        <v>3586</v>
      </c>
      <c r="G8" s="16" t="s">
        <v>115</v>
      </c>
      <c r="H8" s="16">
        <v>7</v>
      </c>
      <c r="I8" s="16">
        <v>17</v>
      </c>
    </row>
    <row r="9" spans="1:9" ht="19.95" customHeight="1" x14ac:dyDescent="0.3">
      <c r="A9" s="14">
        <v>46036</v>
      </c>
      <c r="B9" s="15">
        <v>46036.871527777781</v>
      </c>
      <c r="C9" s="16" t="s">
        <v>8</v>
      </c>
      <c r="D9" s="16" t="s">
        <v>5</v>
      </c>
      <c r="E9" s="16">
        <v>421</v>
      </c>
      <c r="F9" s="16">
        <v>3586</v>
      </c>
      <c r="G9" s="16" t="s">
        <v>115</v>
      </c>
      <c r="H9" s="16">
        <v>7</v>
      </c>
      <c r="I9" s="16">
        <v>16</v>
      </c>
    </row>
    <row r="10" spans="1:9" ht="19.95" customHeight="1" x14ac:dyDescent="0.3">
      <c r="A10" s="14">
        <v>46036</v>
      </c>
      <c r="B10" s="15">
        <v>46036.861805555556</v>
      </c>
      <c r="C10" s="16" t="s">
        <v>8</v>
      </c>
      <c r="D10" s="16" t="s">
        <v>5</v>
      </c>
      <c r="E10" s="16">
        <v>76</v>
      </c>
      <c r="F10" s="16">
        <v>999</v>
      </c>
      <c r="G10" s="16" t="s">
        <v>119</v>
      </c>
      <c r="H10" s="16">
        <v>1</v>
      </c>
      <c r="I10" s="16">
        <v>14.6</v>
      </c>
    </row>
    <row r="11" spans="1:9" ht="19.95" customHeight="1" x14ac:dyDescent="0.3">
      <c r="A11" s="14">
        <v>46036</v>
      </c>
      <c r="B11" s="15">
        <v>46036.850694444445</v>
      </c>
      <c r="C11" s="16" t="s">
        <v>8</v>
      </c>
      <c r="D11" s="16" t="s">
        <v>5</v>
      </c>
      <c r="E11" s="16">
        <v>63</v>
      </c>
      <c r="F11" s="16">
        <v>3610</v>
      </c>
      <c r="G11" s="16" t="s">
        <v>118</v>
      </c>
      <c r="H11" s="16">
        <v>7</v>
      </c>
      <c r="I11" s="16">
        <v>12.8</v>
      </c>
    </row>
    <row r="12" spans="1:9" ht="19.95" customHeight="1" x14ac:dyDescent="0.3">
      <c r="A12" s="14">
        <v>46036</v>
      </c>
      <c r="B12" s="15">
        <v>46036.833333333336</v>
      </c>
      <c r="C12" s="16" t="s">
        <v>8</v>
      </c>
      <c r="D12" s="16" t="s">
        <v>5</v>
      </c>
      <c r="E12" s="16">
        <v>81</v>
      </c>
      <c r="F12" s="16">
        <v>3692</v>
      </c>
      <c r="G12" s="16" t="s">
        <v>120</v>
      </c>
      <c r="H12" s="16">
        <v>12</v>
      </c>
      <c r="I12" s="16">
        <v>14.8</v>
      </c>
    </row>
    <row r="13" spans="1:9" ht="19.95" customHeight="1" x14ac:dyDescent="0.3">
      <c r="A13" s="14">
        <v>46036</v>
      </c>
      <c r="B13" s="15">
        <v>46036.80972222222</v>
      </c>
      <c r="C13" s="16" t="s">
        <v>8</v>
      </c>
      <c r="D13" s="16" t="s">
        <v>5</v>
      </c>
      <c r="E13" s="16">
        <v>432</v>
      </c>
      <c r="F13" s="16">
        <v>3586</v>
      </c>
      <c r="G13" s="16" t="s">
        <v>115</v>
      </c>
      <c r="H13" s="16">
        <v>7</v>
      </c>
      <c r="I13" s="16">
        <v>18</v>
      </c>
    </row>
    <row r="14" spans="1:9" ht="19.95" customHeight="1" x14ac:dyDescent="0.3">
      <c r="A14" s="14">
        <v>46036</v>
      </c>
      <c r="B14" s="15">
        <v>46036.808333333334</v>
      </c>
      <c r="C14" s="16" t="s">
        <v>8</v>
      </c>
      <c r="D14" s="16" t="s">
        <v>5</v>
      </c>
      <c r="E14" s="16">
        <v>431</v>
      </c>
      <c r="F14" s="16">
        <v>3586</v>
      </c>
      <c r="G14" s="16" t="s">
        <v>115</v>
      </c>
      <c r="H14" s="16">
        <v>7</v>
      </c>
      <c r="I14" s="16">
        <v>17.399999999999999</v>
      </c>
    </row>
    <row r="15" spans="1:9" ht="19.95" customHeight="1" x14ac:dyDescent="0.3">
      <c r="A15" s="14">
        <v>46036</v>
      </c>
      <c r="B15" s="15">
        <v>46036.806250000001</v>
      </c>
      <c r="C15" s="16" t="s">
        <v>8</v>
      </c>
      <c r="D15" s="16" t="s">
        <v>5</v>
      </c>
      <c r="E15" s="16">
        <v>4802</v>
      </c>
      <c r="F15" s="16">
        <v>3607</v>
      </c>
      <c r="G15" s="16" t="s">
        <v>121</v>
      </c>
      <c r="H15" s="16">
        <v>20</v>
      </c>
      <c r="I15" s="16">
        <v>20.6</v>
      </c>
    </row>
    <row r="16" spans="1:9" ht="19.95" customHeight="1" x14ac:dyDescent="0.3">
      <c r="A16" s="14">
        <v>46036</v>
      </c>
      <c r="B16" s="15">
        <v>46036.805555555555</v>
      </c>
      <c r="C16" s="16" t="s">
        <v>8</v>
      </c>
      <c r="D16" s="16" t="s">
        <v>5</v>
      </c>
      <c r="E16" s="16">
        <v>4801</v>
      </c>
      <c r="F16" s="16">
        <v>3607</v>
      </c>
      <c r="G16" s="16" t="s">
        <v>121</v>
      </c>
      <c r="H16" s="16">
        <v>20</v>
      </c>
      <c r="I16" s="16">
        <v>12.4</v>
      </c>
    </row>
    <row r="17" spans="1:9" ht="19.95" customHeight="1" x14ac:dyDescent="0.3">
      <c r="A17" s="14">
        <v>46036</v>
      </c>
      <c r="B17" s="15">
        <v>46036.788888888892</v>
      </c>
      <c r="C17" s="16" t="s">
        <v>8</v>
      </c>
      <c r="D17" s="16" t="s">
        <v>5</v>
      </c>
      <c r="E17" s="16">
        <v>502</v>
      </c>
      <c r="F17" s="16">
        <v>3615</v>
      </c>
      <c r="G17" s="16" t="s">
        <v>122</v>
      </c>
      <c r="H17" s="16">
        <v>2</v>
      </c>
      <c r="I17" s="16">
        <v>16.8</v>
      </c>
    </row>
    <row r="18" spans="1:9" ht="19.95" customHeight="1" x14ac:dyDescent="0.3">
      <c r="A18" s="14">
        <v>46036</v>
      </c>
      <c r="B18" s="15">
        <v>46036.788194444445</v>
      </c>
      <c r="C18" s="16" t="s">
        <v>8</v>
      </c>
      <c r="D18" s="16" t="s">
        <v>5</v>
      </c>
      <c r="E18" s="16">
        <v>501</v>
      </c>
      <c r="F18" s="16">
        <v>3615</v>
      </c>
      <c r="G18" s="16" t="s">
        <v>122</v>
      </c>
      <c r="H18" s="16">
        <v>2</v>
      </c>
      <c r="I18" s="16">
        <v>16.600000000000001</v>
      </c>
    </row>
    <row r="19" spans="1:9" ht="19.95" customHeight="1" x14ac:dyDescent="0.3">
      <c r="A19" s="14">
        <v>46036</v>
      </c>
      <c r="B19" s="15">
        <v>46036.754861111112</v>
      </c>
      <c r="C19" s="16" t="s">
        <v>8</v>
      </c>
      <c r="D19" s="16" t="s">
        <v>5</v>
      </c>
      <c r="E19" s="16">
        <v>472</v>
      </c>
      <c r="F19" s="16">
        <v>3607</v>
      </c>
      <c r="G19" s="16" t="s">
        <v>121</v>
      </c>
      <c r="H19" s="16">
        <v>20</v>
      </c>
      <c r="I19" s="16">
        <v>22</v>
      </c>
    </row>
    <row r="20" spans="1:9" ht="19.95" customHeight="1" x14ac:dyDescent="0.3">
      <c r="A20" s="14">
        <v>46036</v>
      </c>
      <c r="B20" s="15">
        <v>46036.753472222219</v>
      </c>
      <c r="C20" s="16" t="s">
        <v>8</v>
      </c>
      <c r="D20" s="16" t="s">
        <v>5</v>
      </c>
      <c r="E20" s="16">
        <v>471</v>
      </c>
      <c r="F20" s="16">
        <v>3607</v>
      </c>
      <c r="G20" s="16" t="s">
        <v>121</v>
      </c>
      <c r="H20" s="16">
        <v>20</v>
      </c>
      <c r="I20" s="16">
        <v>21.8</v>
      </c>
    </row>
    <row r="21" spans="1:9" ht="19.95" customHeight="1" x14ac:dyDescent="0.3">
      <c r="A21" s="14">
        <v>46036</v>
      </c>
      <c r="B21" s="15">
        <v>46036.75277777778</v>
      </c>
      <c r="C21" s="16" t="s">
        <v>8</v>
      </c>
      <c r="D21" s="16" t="s">
        <v>5</v>
      </c>
      <c r="E21" s="16">
        <v>462</v>
      </c>
      <c r="F21" s="16">
        <v>3607</v>
      </c>
      <c r="G21" s="16" t="s">
        <v>121</v>
      </c>
      <c r="H21" s="16">
        <v>20</v>
      </c>
      <c r="I21" s="16">
        <v>21.4</v>
      </c>
    </row>
    <row r="22" spans="1:9" ht="19.95" customHeight="1" x14ac:dyDescent="0.3">
      <c r="A22" s="14">
        <v>46036</v>
      </c>
      <c r="B22" s="15">
        <v>46036.752083333333</v>
      </c>
      <c r="C22" s="16" t="s">
        <v>8</v>
      </c>
      <c r="D22" s="16" t="s">
        <v>5</v>
      </c>
      <c r="E22" s="16">
        <v>461</v>
      </c>
      <c r="F22" s="16">
        <v>3607</v>
      </c>
      <c r="G22" s="16" t="s">
        <v>121</v>
      </c>
      <c r="H22" s="16">
        <v>20</v>
      </c>
      <c r="I22" s="16">
        <v>21.8</v>
      </c>
    </row>
    <row r="23" spans="1:9" ht="19.95" customHeight="1" x14ac:dyDescent="0.3">
      <c r="A23" s="14">
        <v>46036</v>
      </c>
      <c r="B23" s="15">
        <v>46036.751388888886</v>
      </c>
      <c r="C23" s="16" t="s">
        <v>8</v>
      </c>
      <c r="D23" s="16" t="s">
        <v>5</v>
      </c>
      <c r="E23" s="16">
        <v>402</v>
      </c>
      <c r="F23" s="16">
        <v>3730</v>
      </c>
      <c r="G23" s="16" t="s">
        <v>123</v>
      </c>
      <c r="H23" s="16">
        <v>1</v>
      </c>
      <c r="I23" s="16">
        <v>22.4</v>
      </c>
    </row>
    <row r="24" spans="1:9" ht="19.95" customHeight="1" x14ac:dyDescent="0.3">
      <c r="A24" s="14">
        <v>46036</v>
      </c>
      <c r="B24" s="15">
        <v>46036.75</v>
      </c>
      <c r="C24" s="16" t="s">
        <v>8</v>
      </c>
      <c r="D24" s="16" t="s">
        <v>5</v>
      </c>
      <c r="E24" s="16">
        <v>401</v>
      </c>
      <c r="F24" s="16">
        <v>3730</v>
      </c>
      <c r="G24" s="16" t="s">
        <v>123</v>
      </c>
      <c r="H24" s="16">
        <v>1</v>
      </c>
      <c r="I24" s="16">
        <v>30</v>
      </c>
    </row>
    <row r="25" spans="1:9" ht="19.95" customHeight="1" x14ac:dyDescent="0.3">
      <c r="A25" s="14">
        <v>46036</v>
      </c>
      <c r="B25" s="15">
        <v>46036.746527777781</v>
      </c>
      <c r="C25" s="16" t="s">
        <v>8</v>
      </c>
      <c r="D25" s="16" t="s">
        <v>5</v>
      </c>
      <c r="E25" s="16">
        <v>73</v>
      </c>
      <c r="F25" s="16">
        <v>3692</v>
      </c>
      <c r="G25" s="16" t="s">
        <v>120</v>
      </c>
      <c r="H25" s="16">
        <v>12</v>
      </c>
      <c r="I25" s="16">
        <v>22.4</v>
      </c>
    </row>
    <row r="26" spans="1:9" ht="19.95" customHeight="1" x14ac:dyDescent="0.3">
      <c r="A26" s="14">
        <v>46036</v>
      </c>
      <c r="B26" s="15">
        <v>46036.745833333334</v>
      </c>
      <c r="C26" s="16" t="s">
        <v>8</v>
      </c>
      <c r="D26" s="16" t="s">
        <v>5</v>
      </c>
      <c r="E26" s="16">
        <v>73</v>
      </c>
      <c r="F26" s="16">
        <v>3692</v>
      </c>
      <c r="G26" s="16" t="s">
        <v>120</v>
      </c>
      <c r="H26" s="16">
        <v>12</v>
      </c>
      <c r="I26" s="16">
        <v>22.4</v>
      </c>
    </row>
    <row r="27" spans="1:9" ht="19.95" customHeight="1" x14ac:dyDescent="0.3">
      <c r="A27" s="14">
        <v>46036</v>
      </c>
      <c r="B27" s="15">
        <v>46036.727083333331</v>
      </c>
      <c r="C27" s="16" t="s">
        <v>8</v>
      </c>
      <c r="D27" s="16" t="s">
        <v>5</v>
      </c>
      <c r="E27" s="16">
        <v>5102</v>
      </c>
      <c r="F27" s="16">
        <v>3615</v>
      </c>
      <c r="G27" s="16" t="s">
        <v>122</v>
      </c>
      <c r="H27" s="16">
        <v>2</v>
      </c>
      <c r="I27" s="16">
        <v>10</v>
      </c>
    </row>
    <row r="28" spans="1:9" ht="19.95" customHeight="1" x14ac:dyDescent="0.3">
      <c r="A28" s="14">
        <v>46036</v>
      </c>
      <c r="B28" s="15">
        <v>46036.725694444445</v>
      </c>
      <c r="C28" s="16" t="s">
        <v>8</v>
      </c>
      <c r="D28" s="16" t="s">
        <v>5</v>
      </c>
      <c r="E28" s="16">
        <v>5101</v>
      </c>
      <c r="F28" s="16">
        <v>3615</v>
      </c>
      <c r="G28" s="16" t="s">
        <v>122</v>
      </c>
      <c r="H28" s="16">
        <v>2</v>
      </c>
      <c r="I28" s="16">
        <v>10.199999999999999</v>
      </c>
    </row>
    <row r="29" spans="1:9" ht="19.95" customHeight="1" x14ac:dyDescent="0.3">
      <c r="A29" s="14">
        <v>46036</v>
      </c>
      <c r="B29" s="15">
        <v>46036.711111111108</v>
      </c>
      <c r="C29" s="16" t="s">
        <v>8</v>
      </c>
      <c r="D29" s="16" t="s">
        <v>5</v>
      </c>
      <c r="E29" s="16">
        <v>78</v>
      </c>
      <c r="F29" s="16">
        <v>3049</v>
      </c>
      <c r="G29" s="16" t="s">
        <v>124</v>
      </c>
      <c r="H29" s="16">
        <v>5</v>
      </c>
      <c r="I29" s="16">
        <v>22</v>
      </c>
    </row>
    <row r="30" spans="1:9" ht="19.95" customHeight="1" x14ac:dyDescent="0.3">
      <c r="A30" s="14">
        <v>46036</v>
      </c>
      <c r="B30" s="15">
        <v>46036.709722222222</v>
      </c>
      <c r="C30" s="16" t="s">
        <v>8</v>
      </c>
      <c r="D30" s="16" t="s">
        <v>5</v>
      </c>
      <c r="E30" s="16">
        <v>78</v>
      </c>
      <c r="F30" s="16">
        <v>3049</v>
      </c>
      <c r="G30" s="16" t="s">
        <v>124</v>
      </c>
      <c r="H30" s="16">
        <v>5</v>
      </c>
      <c r="I30" s="16">
        <v>134.80000000000001</v>
      </c>
    </row>
    <row r="31" spans="1:9" ht="19.95" customHeight="1" x14ac:dyDescent="0.3">
      <c r="A31" s="14">
        <v>46036</v>
      </c>
      <c r="B31" s="15">
        <v>46036.7</v>
      </c>
      <c r="C31" s="16" t="s">
        <v>8</v>
      </c>
      <c r="D31" s="16" t="s">
        <v>5</v>
      </c>
      <c r="E31" s="16">
        <v>73</v>
      </c>
      <c r="F31" s="16">
        <v>3692</v>
      </c>
      <c r="G31" s="16" t="s">
        <v>120</v>
      </c>
      <c r="H31" s="16">
        <v>12</v>
      </c>
      <c r="I31" s="16">
        <v>25</v>
      </c>
    </row>
    <row r="32" spans="1:9" ht="19.95" customHeight="1" x14ac:dyDescent="0.3">
      <c r="A32" s="14">
        <v>46036</v>
      </c>
      <c r="B32" s="15">
        <v>46036.698611111111</v>
      </c>
      <c r="C32" s="16" t="s">
        <v>8</v>
      </c>
      <c r="D32" s="16" t="s">
        <v>5</v>
      </c>
      <c r="E32" s="16">
        <v>56</v>
      </c>
      <c r="F32" s="16">
        <v>3719</v>
      </c>
      <c r="G32" s="16" t="s">
        <v>117</v>
      </c>
      <c r="H32" s="16">
        <v>12</v>
      </c>
      <c r="I32" s="16">
        <v>22.4</v>
      </c>
    </row>
    <row r="33" spans="1:9" ht="19.95" customHeight="1" x14ac:dyDescent="0.3">
      <c r="A33" s="14">
        <v>46036</v>
      </c>
      <c r="B33" s="15">
        <v>46036.694444444445</v>
      </c>
      <c r="C33" s="16" t="s">
        <v>8</v>
      </c>
      <c r="D33" s="16" t="s">
        <v>5</v>
      </c>
      <c r="E33" s="16">
        <v>54</v>
      </c>
      <c r="F33" s="16">
        <v>3752</v>
      </c>
      <c r="G33" s="16" t="s">
        <v>125</v>
      </c>
      <c r="H33" s="16">
        <v>5</v>
      </c>
      <c r="I33" s="16">
        <v>16.8</v>
      </c>
    </row>
    <row r="34" spans="1:9" ht="19.95" customHeight="1" x14ac:dyDescent="0.3">
      <c r="A34" s="14">
        <v>46036</v>
      </c>
      <c r="B34" s="15">
        <v>46036.677083333336</v>
      </c>
      <c r="C34" s="16" t="s">
        <v>8</v>
      </c>
      <c r="D34" s="16" t="s">
        <v>5</v>
      </c>
      <c r="E34" s="16">
        <v>62</v>
      </c>
      <c r="F34" s="16">
        <v>3610</v>
      </c>
      <c r="G34" s="16" t="s">
        <v>118</v>
      </c>
      <c r="H34" s="16">
        <v>7</v>
      </c>
      <c r="I34" s="16">
        <v>52.4</v>
      </c>
    </row>
    <row r="35" spans="1:9" ht="19.95" customHeight="1" x14ac:dyDescent="0.3">
      <c r="A35" s="14">
        <v>46036</v>
      </c>
      <c r="B35" s="15">
        <v>46036.676388888889</v>
      </c>
      <c r="C35" s="16" t="s">
        <v>8</v>
      </c>
      <c r="D35" s="16" t="s">
        <v>5</v>
      </c>
      <c r="E35" s="16">
        <v>95</v>
      </c>
      <c r="F35" s="16">
        <v>3692</v>
      </c>
      <c r="G35" s="16" t="s">
        <v>120</v>
      </c>
      <c r="H35" s="16">
        <v>12</v>
      </c>
      <c r="I35" s="16">
        <v>32.200000000000003</v>
      </c>
    </row>
    <row r="36" spans="1:9" ht="19.95" customHeight="1" x14ac:dyDescent="0.3">
      <c r="A36" s="14">
        <v>46036</v>
      </c>
      <c r="B36" s="15">
        <v>46036.67083333333</v>
      </c>
      <c r="C36" s="16" t="s">
        <v>8</v>
      </c>
      <c r="D36" s="16" t="s">
        <v>5</v>
      </c>
      <c r="E36" s="16">
        <v>52</v>
      </c>
      <c r="F36" s="16">
        <v>3043</v>
      </c>
      <c r="G36" s="16" t="s">
        <v>126</v>
      </c>
      <c r="H36" s="16">
        <v>1</v>
      </c>
      <c r="I36" s="16">
        <v>41.6</v>
      </c>
    </row>
    <row r="37" spans="1:9" ht="19.95" customHeight="1" x14ac:dyDescent="0.3">
      <c r="A37" s="14">
        <v>46036</v>
      </c>
      <c r="B37" s="15">
        <v>46036.670138888891</v>
      </c>
      <c r="C37" s="16" t="s">
        <v>8</v>
      </c>
      <c r="D37" s="16" t="s">
        <v>5</v>
      </c>
      <c r="E37" s="16">
        <v>52</v>
      </c>
      <c r="F37" s="16">
        <v>3043</v>
      </c>
      <c r="G37" s="16" t="s">
        <v>126</v>
      </c>
      <c r="H37" s="16">
        <v>1</v>
      </c>
      <c r="I37" s="16">
        <v>45.8</v>
      </c>
    </row>
    <row r="38" spans="1:9" ht="19.95" customHeight="1" x14ac:dyDescent="0.3">
      <c r="A38" s="14">
        <v>46036</v>
      </c>
      <c r="B38" s="15">
        <v>46036.659722222219</v>
      </c>
      <c r="C38" s="16" t="s">
        <v>8</v>
      </c>
      <c r="D38" s="16" t="s">
        <v>5</v>
      </c>
      <c r="E38" s="16">
        <v>4902</v>
      </c>
      <c r="F38" s="16">
        <v>3607</v>
      </c>
      <c r="G38" s="16" t="s">
        <v>121</v>
      </c>
      <c r="H38" s="16">
        <v>20</v>
      </c>
      <c r="I38" s="16">
        <v>79</v>
      </c>
    </row>
    <row r="39" spans="1:9" ht="19.95" customHeight="1" x14ac:dyDescent="0.3">
      <c r="A39" s="14">
        <v>46036</v>
      </c>
      <c r="B39" s="15">
        <v>46036.65902777778</v>
      </c>
      <c r="C39" s="16" t="s">
        <v>8</v>
      </c>
      <c r="D39" s="16" t="s">
        <v>5</v>
      </c>
      <c r="E39" s="16">
        <v>4901</v>
      </c>
      <c r="F39" s="16">
        <v>3607</v>
      </c>
      <c r="G39" s="16" t="s">
        <v>121</v>
      </c>
      <c r="H39" s="16">
        <v>20</v>
      </c>
      <c r="I39" s="16">
        <v>10.6</v>
      </c>
    </row>
    <row r="40" spans="1:9" ht="19.95" customHeight="1" x14ac:dyDescent="0.3">
      <c r="A40" s="14">
        <v>46036</v>
      </c>
      <c r="B40" s="15">
        <v>46036.657638888886</v>
      </c>
      <c r="C40" s="16" t="s">
        <v>8</v>
      </c>
      <c r="D40" s="16" t="s">
        <v>5</v>
      </c>
      <c r="E40" s="16">
        <v>412</v>
      </c>
      <c r="F40" s="16">
        <v>3730</v>
      </c>
      <c r="G40" s="16" t="s">
        <v>123</v>
      </c>
      <c r="H40" s="16">
        <v>1</v>
      </c>
      <c r="I40" s="16">
        <v>10</v>
      </c>
    </row>
    <row r="41" spans="1:9" ht="19.95" customHeight="1" x14ac:dyDescent="0.3">
      <c r="A41" s="14">
        <v>46036</v>
      </c>
      <c r="B41" s="15">
        <v>46036.65625</v>
      </c>
      <c r="C41" s="16" t="s">
        <v>8</v>
      </c>
      <c r="D41" s="16" t="s">
        <v>5</v>
      </c>
      <c r="E41" s="16">
        <v>411</v>
      </c>
      <c r="F41" s="16">
        <v>3730</v>
      </c>
      <c r="G41" s="16" t="s">
        <v>123</v>
      </c>
      <c r="H41" s="16">
        <v>1</v>
      </c>
      <c r="I41" s="16">
        <v>10</v>
      </c>
    </row>
    <row r="42" spans="1:9" ht="19.95" customHeight="1" x14ac:dyDescent="0.3">
      <c r="A42" s="14">
        <v>46036</v>
      </c>
      <c r="B42" s="15">
        <v>46036.619444444441</v>
      </c>
      <c r="C42" s="16" t="s">
        <v>66</v>
      </c>
      <c r="D42" s="16" t="s">
        <v>8</v>
      </c>
      <c r="E42" s="16">
        <v>4602</v>
      </c>
      <c r="F42" s="16">
        <v>3607</v>
      </c>
      <c r="G42" s="16" t="s">
        <v>121</v>
      </c>
      <c r="H42" s="16">
        <v>20</v>
      </c>
      <c r="I42" s="16">
        <v>10</v>
      </c>
    </row>
    <row r="43" spans="1:9" ht="19.95" customHeight="1" x14ac:dyDescent="0.3">
      <c r="A43" s="14">
        <v>46036</v>
      </c>
      <c r="B43" s="15">
        <v>46036.618055555555</v>
      </c>
      <c r="C43" s="16" t="s">
        <v>66</v>
      </c>
      <c r="D43" s="16" t="s">
        <v>8</v>
      </c>
      <c r="E43" s="16">
        <v>4601</v>
      </c>
      <c r="F43" s="16">
        <v>3607</v>
      </c>
      <c r="G43" s="16" t="s">
        <v>121</v>
      </c>
      <c r="H43" s="16">
        <v>20</v>
      </c>
      <c r="I43" s="16">
        <v>10</v>
      </c>
    </row>
    <row r="44" spans="1:9" ht="19.95" customHeight="1" x14ac:dyDescent="0.3">
      <c r="A44" s="14">
        <v>46036</v>
      </c>
      <c r="B44" s="15">
        <v>46036.531944444447</v>
      </c>
      <c r="C44" s="16" t="s">
        <v>66</v>
      </c>
      <c r="D44" s="16" t="s">
        <v>8</v>
      </c>
      <c r="E44" s="16">
        <v>472</v>
      </c>
      <c r="F44" s="16">
        <v>3607</v>
      </c>
      <c r="G44" s="16" t="s">
        <v>121</v>
      </c>
      <c r="H44" s="16">
        <v>20</v>
      </c>
      <c r="I44" s="16">
        <v>14.6</v>
      </c>
    </row>
    <row r="45" spans="1:9" ht="19.95" customHeight="1" x14ac:dyDescent="0.3">
      <c r="A45" s="14">
        <v>46036</v>
      </c>
      <c r="B45" s="15">
        <v>46036.530555555553</v>
      </c>
      <c r="C45" s="16" t="s">
        <v>66</v>
      </c>
      <c r="D45" s="16" t="s">
        <v>8</v>
      </c>
      <c r="E45" s="16">
        <v>471</v>
      </c>
      <c r="F45" s="16">
        <v>3607</v>
      </c>
      <c r="G45" s="16" t="s">
        <v>121</v>
      </c>
      <c r="H45" s="16">
        <v>20</v>
      </c>
      <c r="I45" s="16">
        <v>15</v>
      </c>
    </row>
    <row r="46" spans="1:9" ht="19.95" customHeight="1" x14ac:dyDescent="0.3">
      <c r="A46" s="14">
        <v>46036</v>
      </c>
      <c r="B46" s="15">
        <v>46036.518750000003</v>
      </c>
      <c r="C46" s="16" t="s">
        <v>66</v>
      </c>
      <c r="D46" s="16" t="s">
        <v>8</v>
      </c>
      <c r="E46" s="16">
        <v>81</v>
      </c>
      <c r="F46" s="16">
        <v>3692</v>
      </c>
      <c r="G46" s="16" t="s">
        <v>120</v>
      </c>
      <c r="H46" s="16">
        <v>12</v>
      </c>
      <c r="I46" s="16">
        <v>10</v>
      </c>
    </row>
    <row r="47" spans="1:9" ht="19.95" customHeight="1" x14ac:dyDescent="0.3">
      <c r="A47" s="14">
        <v>46036</v>
      </c>
      <c r="B47" s="15">
        <v>46036.412499999999</v>
      </c>
      <c r="C47" s="16" t="s">
        <v>66</v>
      </c>
      <c r="D47" s="16" t="s">
        <v>8</v>
      </c>
      <c r="E47" s="16">
        <v>73</v>
      </c>
      <c r="F47" s="16">
        <v>3692</v>
      </c>
      <c r="G47" s="16" t="s">
        <v>120</v>
      </c>
      <c r="H47" s="16">
        <v>12</v>
      </c>
      <c r="I47" s="16">
        <v>12.8</v>
      </c>
    </row>
    <row r="48" spans="1:9" ht="19.95" customHeight="1" x14ac:dyDescent="0.3">
      <c r="A48" s="14">
        <v>46036</v>
      </c>
      <c r="B48" s="15">
        <v>46036.392361111109</v>
      </c>
      <c r="C48" s="16" t="s">
        <v>66</v>
      </c>
      <c r="D48" s="16" t="s">
        <v>8</v>
      </c>
      <c r="E48" s="16">
        <v>54</v>
      </c>
      <c r="F48" s="16">
        <v>3049</v>
      </c>
      <c r="G48" s="16" t="s">
        <v>124</v>
      </c>
      <c r="H48" s="16">
        <v>5</v>
      </c>
      <c r="I48" s="16">
        <v>15</v>
      </c>
    </row>
    <row r="49" spans="1:9" ht="19.95" customHeight="1" x14ac:dyDescent="0.3">
      <c r="A49" s="14">
        <v>46036</v>
      </c>
      <c r="B49" s="15">
        <v>46036.338888888888</v>
      </c>
      <c r="C49" s="16" t="s">
        <v>66</v>
      </c>
      <c r="D49" s="16" t="s">
        <v>8</v>
      </c>
      <c r="E49" s="16">
        <v>422</v>
      </c>
      <c r="F49" s="16">
        <v>3586</v>
      </c>
      <c r="G49" s="16" t="s">
        <v>115</v>
      </c>
      <c r="H49" s="16">
        <v>6</v>
      </c>
      <c r="I49" s="16">
        <v>15.4</v>
      </c>
    </row>
    <row r="50" spans="1:9" ht="19.95" customHeight="1" x14ac:dyDescent="0.3">
      <c r="A50" s="14">
        <v>46036</v>
      </c>
      <c r="B50" s="15">
        <v>46036.336805555555</v>
      </c>
      <c r="C50" s="16" t="s">
        <v>66</v>
      </c>
      <c r="D50" s="16" t="s">
        <v>8</v>
      </c>
      <c r="E50" s="16">
        <v>422</v>
      </c>
      <c r="F50" s="16">
        <v>3586</v>
      </c>
      <c r="G50" s="16" t="s">
        <v>115</v>
      </c>
      <c r="H50" s="16">
        <v>6</v>
      </c>
      <c r="I50" s="16">
        <v>170.8</v>
      </c>
    </row>
    <row r="51" spans="1:9" ht="19.95" customHeight="1" x14ac:dyDescent="0.3">
      <c r="A51" s="14">
        <v>46036</v>
      </c>
      <c r="B51" s="15">
        <v>46036.336111111108</v>
      </c>
      <c r="C51" s="16" t="s">
        <v>66</v>
      </c>
      <c r="D51" s="16" t="s">
        <v>8</v>
      </c>
      <c r="E51" s="16">
        <v>421</v>
      </c>
      <c r="F51" s="16">
        <v>3586</v>
      </c>
      <c r="G51" s="16" t="s">
        <v>115</v>
      </c>
      <c r="H51" s="16">
        <v>6</v>
      </c>
      <c r="I51" s="16">
        <v>17.8</v>
      </c>
    </row>
    <row r="52" spans="1:9" ht="19.95" customHeight="1" x14ac:dyDescent="0.3">
      <c r="A52" s="14">
        <v>46036</v>
      </c>
      <c r="B52" s="15">
        <v>46036.335416666669</v>
      </c>
      <c r="C52" s="16" t="s">
        <v>66</v>
      </c>
      <c r="D52" s="16" t="s">
        <v>8</v>
      </c>
      <c r="E52" s="16">
        <v>432</v>
      </c>
      <c r="F52" s="16">
        <v>3586</v>
      </c>
      <c r="G52" s="16" t="s">
        <v>115</v>
      </c>
      <c r="H52" s="16">
        <v>6</v>
      </c>
      <c r="I52" s="16">
        <v>18</v>
      </c>
    </row>
    <row r="53" spans="1:9" ht="19.95" customHeight="1" x14ac:dyDescent="0.3">
      <c r="A53" s="14">
        <v>46036</v>
      </c>
      <c r="B53" s="15">
        <v>46036.334027777775</v>
      </c>
      <c r="C53" s="16" t="s">
        <v>66</v>
      </c>
      <c r="D53" s="16" t="s">
        <v>8</v>
      </c>
      <c r="E53" s="16">
        <v>431</v>
      </c>
      <c r="F53" s="16">
        <v>3586</v>
      </c>
      <c r="G53" s="16" t="s">
        <v>115</v>
      </c>
      <c r="H53" s="16">
        <v>6</v>
      </c>
      <c r="I53" s="16">
        <v>28</v>
      </c>
    </row>
    <row r="54" spans="1:9" ht="19.95" customHeight="1" x14ac:dyDescent="0.3">
      <c r="A54" s="14">
        <v>46036</v>
      </c>
      <c r="B54" s="15">
        <v>46036.333333333336</v>
      </c>
      <c r="C54" s="16" t="s">
        <v>66</v>
      </c>
      <c r="D54" s="16" t="s">
        <v>8</v>
      </c>
      <c r="E54" s="16">
        <v>95</v>
      </c>
      <c r="F54" s="16">
        <v>3692</v>
      </c>
      <c r="G54" s="16" t="s">
        <v>120</v>
      </c>
      <c r="H54" s="16">
        <v>12</v>
      </c>
      <c r="I54" s="16">
        <v>35.4</v>
      </c>
    </row>
    <row r="55" spans="1:9" ht="19.95" customHeight="1" x14ac:dyDescent="0.3">
      <c r="A55" s="14">
        <v>46036</v>
      </c>
      <c r="B55" s="15">
        <v>46036.321527777778</v>
      </c>
      <c r="C55" s="16" t="s">
        <v>66</v>
      </c>
      <c r="D55" s="16" t="s">
        <v>8</v>
      </c>
      <c r="E55" s="16">
        <v>412</v>
      </c>
      <c r="F55" s="16">
        <v>3730</v>
      </c>
      <c r="G55" s="16" t="s">
        <v>123</v>
      </c>
      <c r="H55" s="16">
        <v>1</v>
      </c>
      <c r="I55" s="16">
        <v>10.6</v>
      </c>
    </row>
    <row r="56" spans="1:9" ht="19.95" customHeight="1" x14ac:dyDescent="0.3">
      <c r="A56" s="14">
        <v>46036</v>
      </c>
      <c r="B56" s="15">
        <v>46036.320138888892</v>
      </c>
      <c r="C56" s="16" t="s">
        <v>66</v>
      </c>
      <c r="D56" s="16" t="s">
        <v>8</v>
      </c>
      <c r="E56" s="16">
        <v>411</v>
      </c>
      <c r="F56" s="16">
        <v>3730</v>
      </c>
      <c r="G56" s="16" t="s">
        <v>123</v>
      </c>
      <c r="H56" s="16">
        <v>1</v>
      </c>
      <c r="I56" s="16">
        <v>10</v>
      </c>
    </row>
    <row r="57" spans="1:9" ht="19.95" customHeight="1" x14ac:dyDescent="0.3">
      <c r="A57" s="14">
        <v>46036</v>
      </c>
      <c r="B57" s="15">
        <v>46036.313888888886</v>
      </c>
      <c r="C57" s="16" t="s">
        <v>66</v>
      </c>
      <c r="D57" s="16" t="s">
        <v>8</v>
      </c>
      <c r="E57" s="16">
        <v>95</v>
      </c>
      <c r="F57" s="16">
        <v>3692</v>
      </c>
      <c r="G57" s="16" t="s">
        <v>120</v>
      </c>
      <c r="H57" s="16">
        <v>12</v>
      </c>
      <c r="I57" s="16">
        <v>91.2</v>
      </c>
    </row>
    <row r="58" spans="1:9" ht="19.95" customHeight="1" x14ac:dyDescent="0.3">
      <c r="A58" s="14">
        <v>46036</v>
      </c>
      <c r="B58" s="15">
        <v>46036.3125</v>
      </c>
      <c r="C58" s="16" t="s">
        <v>66</v>
      </c>
      <c r="D58" s="16" t="s">
        <v>8</v>
      </c>
      <c r="E58" s="16">
        <v>4802</v>
      </c>
      <c r="F58" s="16">
        <v>3607</v>
      </c>
      <c r="G58" s="16" t="s">
        <v>121</v>
      </c>
      <c r="H58" s="16">
        <v>20</v>
      </c>
      <c r="I58" s="16">
        <v>10</v>
      </c>
    </row>
    <row r="59" spans="1:9" ht="19.95" customHeight="1" x14ac:dyDescent="0.3">
      <c r="A59" s="14">
        <v>46036</v>
      </c>
      <c r="B59" s="15">
        <v>46036.311805555553</v>
      </c>
      <c r="C59" s="16" t="s">
        <v>66</v>
      </c>
      <c r="D59" s="16" t="s">
        <v>8</v>
      </c>
      <c r="E59" s="16">
        <v>4801</v>
      </c>
      <c r="F59" s="16">
        <v>3607</v>
      </c>
      <c r="G59" s="16" t="s">
        <v>121</v>
      </c>
      <c r="H59" s="16">
        <v>20</v>
      </c>
      <c r="I59" s="16">
        <v>10</v>
      </c>
    </row>
    <row r="60" spans="1:9" ht="19.95" customHeight="1" x14ac:dyDescent="0.3">
      <c r="A60" s="14">
        <v>46036</v>
      </c>
      <c r="B60" s="15">
        <v>46036.310416666667</v>
      </c>
      <c r="C60" s="16" t="s">
        <v>66</v>
      </c>
      <c r="D60" s="16" t="s">
        <v>8</v>
      </c>
      <c r="E60" s="16">
        <v>4902</v>
      </c>
      <c r="F60" s="16">
        <v>3607</v>
      </c>
      <c r="G60" s="16" t="s">
        <v>121</v>
      </c>
      <c r="H60" s="16">
        <v>20</v>
      </c>
      <c r="I60" s="16">
        <v>11.2</v>
      </c>
    </row>
    <row r="61" spans="1:9" ht="19.95" customHeight="1" x14ac:dyDescent="0.3">
      <c r="A61" s="14">
        <v>46036</v>
      </c>
      <c r="B61" s="15">
        <v>46036.30972222222</v>
      </c>
      <c r="C61" s="16" t="s">
        <v>66</v>
      </c>
      <c r="D61" s="16" t="s">
        <v>8</v>
      </c>
      <c r="E61" s="16">
        <v>4901</v>
      </c>
      <c r="F61" s="16">
        <v>3607</v>
      </c>
      <c r="G61" s="16" t="s">
        <v>121</v>
      </c>
      <c r="H61" s="16">
        <v>20</v>
      </c>
      <c r="I61" s="16">
        <v>10</v>
      </c>
    </row>
    <row r="62" spans="1:9" ht="19.95" customHeight="1" x14ac:dyDescent="0.3">
      <c r="A62" s="14">
        <v>46036</v>
      </c>
      <c r="B62" s="15">
        <v>46036.307638888888</v>
      </c>
      <c r="C62" s="16" t="s">
        <v>66</v>
      </c>
      <c r="D62" s="16" t="s">
        <v>8</v>
      </c>
      <c r="E62" s="16">
        <v>502</v>
      </c>
      <c r="F62" s="16">
        <v>3615</v>
      </c>
      <c r="G62" s="16" t="s">
        <v>122</v>
      </c>
      <c r="H62" s="16">
        <v>2</v>
      </c>
      <c r="I62" s="16">
        <v>10.8</v>
      </c>
    </row>
    <row r="63" spans="1:9" ht="19.95" customHeight="1" x14ac:dyDescent="0.3">
      <c r="A63" s="14">
        <v>46036</v>
      </c>
      <c r="B63" s="15">
        <v>46036.306250000001</v>
      </c>
      <c r="C63" s="16" t="s">
        <v>66</v>
      </c>
      <c r="D63" s="16" t="s">
        <v>8</v>
      </c>
      <c r="E63" s="16">
        <v>501</v>
      </c>
      <c r="F63" s="16">
        <v>3615</v>
      </c>
      <c r="G63" s="16" t="s">
        <v>122</v>
      </c>
      <c r="H63" s="16">
        <v>2</v>
      </c>
      <c r="I63" s="16">
        <v>12.8</v>
      </c>
    </row>
    <row r="64" spans="1:9" ht="19.95" customHeight="1" x14ac:dyDescent="0.3">
      <c r="A64" s="14">
        <v>46036</v>
      </c>
      <c r="B64" s="15">
        <v>46036.304861111108</v>
      </c>
      <c r="C64" s="16" t="s">
        <v>66</v>
      </c>
      <c r="D64" s="16" t="s">
        <v>8</v>
      </c>
      <c r="E64" s="16">
        <v>512</v>
      </c>
      <c r="F64" s="16">
        <v>3615</v>
      </c>
      <c r="G64" s="16" t="s">
        <v>122</v>
      </c>
      <c r="H64" s="16">
        <v>2</v>
      </c>
      <c r="I64" s="16">
        <v>15.4</v>
      </c>
    </row>
    <row r="65" spans="1:9" ht="19.95" customHeight="1" x14ac:dyDescent="0.3">
      <c r="A65" s="14">
        <v>46036</v>
      </c>
      <c r="B65" s="15">
        <v>46036.303472222222</v>
      </c>
      <c r="C65" s="16" t="s">
        <v>66</v>
      </c>
      <c r="D65" s="16" t="s">
        <v>8</v>
      </c>
      <c r="E65" s="16">
        <v>511</v>
      </c>
      <c r="F65" s="16">
        <v>3615</v>
      </c>
      <c r="G65" s="16" t="s">
        <v>122</v>
      </c>
      <c r="H65" s="16">
        <v>2</v>
      </c>
      <c r="I65" s="16">
        <v>10</v>
      </c>
    </row>
    <row r="66" spans="1:9" ht="19.95" customHeight="1" x14ac:dyDescent="0.3">
      <c r="A66" s="14">
        <v>46036</v>
      </c>
      <c r="B66" s="15">
        <v>46036.29583333333</v>
      </c>
      <c r="C66" s="16" t="s">
        <v>66</v>
      </c>
      <c r="D66" s="16" t="s">
        <v>8</v>
      </c>
      <c r="E66" s="16">
        <v>402</v>
      </c>
      <c r="F66" s="16">
        <v>3730</v>
      </c>
      <c r="G66" s="16" t="s">
        <v>123</v>
      </c>
      <c r="H66" s="16">
        <v>1</v>
      </c>
      <c r="I66" s="16">
        <v>10</v>
      </c>
    </row>
    <row r="67" spans="1:9" ht="19.95" customHeight="1" x14ac:dyDescent="0.3">
      <c r="A67" s="14">
        <v>46036</v>
      </c>
      <c r="B67" s="15">
        <v>46036.294444444444</v>
      </c>
      <c r="C67" s="16" t="s">
        <v>66</v>
      </c>
      <c r="D67" s="16" t="s">
        <v>8</v>
      </c>
      <c r="E67" s="16">
        <v>401</v>
      </c>
      <c r="F67" s="16">
        <v>3730</v>
      </c>
      <c r="G67" s="16" t="s">
        <v>123</v>
      </c>
      <c r="H67" s="16">
        <v>1</v>
      </c>
      <c r="I67" s="16">
        <v>17</v>
      </c>
    </row>
    <row r="68" spans="1:9" ht="19.95" customHeight="1" x14ac:dyDescent="0.3">
      <c r="A68" s="14">
        <v>46038</v>
      </c>
      <c r="B68" s="15">
        <v>46039.251388888886</v>
      </c>
      <c r="C68" s="16" t="s">
        <v>70</v>
      </c>
      <c r="D68" s="16" t="s">
        <v>11</v>
      </c>
      <c r="E68" s="16">
        <v>76</v>
      </c>
      <c r="F68" s="16">
        <v>999</v>
      </c>
      <c r="G68" s="16" t="s">
        <v>119</v>
      </c>
      <c r="H68" s="16">
        <v>1</v>
      </c>
      <c r="I68" s="16">
        <v>17.600000000000001</v>
      </c>
    </row>
    <row r="69" spans="1:9" ht="19.95" customHeight="1" x14ac:dyDescent="0.3">
      <c r="A69" s="14">
        <v>46038</v>
      </c>
      <c r="B69" s="15">
        <v>46039.244444444441</v>
      </c>
      <c r="C69" s="16" t="s">
        <v>70</v>
      </c>
      <c r="D69" s="16" t="s">
        <v>11</v>
      </c>
      <c r="E69" s="16">
        <v>482</v>
      </c>
      <c r="F69" s="16">
        <v>3607</v>
      </c>
      <c r="G69" s="16" t="s">
        <v>121</v>
      </c>
      <c r="H69" s="16">
        <v>24</v>
      </c>
      <c r="I69" s="16">
        <v>18.8</v>
      </c>
    </row>
    <row r="70" spans="1:9" ht="19.95" customHeight="1" x14ac:dyDescent="0.3">
      <c r="A70" s="14">
        <v>46038</v>
      </c>
      <c r="B70" s="15">
        <v>46039.243750000001</v>
      </c>
      <c r="C70" s="16" t="s">
        <v>70</v>
      </c>
      <c r="D70" s="16" t="s">
        <v>11</v>
      </c>
      <c r="E70" s="16">
        <v>481</v>
      </c>
      <c r="F70" s="16">
        <v>3607</v>
      </c>
      <c r="G70" s="16" t="s">
        <v>121</v>
      </c>
      <c r="H70" s="16">
        <v>24</v>
      </c>
      <c r="I70" s="16">
        <v>14.8</v>
      </c>
    </row>
    <row r="71" spans="1:9" ht="19.95" customHeight="1" x14ac:dyDescent="0.3">
      <c r="A71" s="14">
        <v>46038</v>
      </c>
      <c r="B71" s="15">
        <v>46039.208333333336</v>
      </c>
      <c r="C71" s="16" t="s">
        <v>70</v>
      </c>
      <c r="D71" s="16" t="s">
        <v>11</v>
      </c>
      <c r="E71" s="16">
        <v>54</v>
      </c>
      <c r="F71" s="16">
        <v>3424</v>
      </c>
      <c r="G71" s="16" t="s">
        <v>127</v>
      </c>
      <c r="H71" s="16">
        <v>9</v>
      </c>
      <c r="I71" s="16">
        <v>19.2</v>
      </c>
    </row>
    <row r="72" spans="1:9" ht="19.95" customHeight="1" x14ac:dyDescent="0.3">
      <c r="A72" s="14">
        <v>46038</v>
      </c>
      <c r="B72" s="15">
        <v>46039.195138888892</v>
      </c>
      <c r="C72" s="16" t="s">
        <v>70</v>
      </c>
      <c r="D72" s="16" t="s">
        <v>11</v>
      </c>
      <c r="E72" s="16">
        <v>78</v>
      </c>
      <c r="F72" s="16">
        <v>3049</v>
      </c>
      <c r="G72" s="16" t="s">
        <v>124</v>
      </c>
      <c r="H72" s="16">
        <v>5</v>
      </c>
      <c r="I72" s="16">
        <v>10.199999999999999</v>
      </c>
    </row>
    <row r="73" spans="1:9" ht="19.95" customHeight="1" x14ac:dyDescent="0.3">
      <c r="A73" s="14">
        <v>46038</v>
      </c>
      <c r="B73" s="15">
        <v>46039.194444444445</v>
      </c>
      <c r="C73" s="16" t="s">
        <v>70</v>
      </c>
      <c r="D73" s="16" t="s">
        <v>11</v>
      </c>
      <c r="E73" s="16">
        <v>78</v>
      </c>
      <c r="F73" s="16">
        <v>3049</v>
      </c>
      <c r="G73" s="16" t="s">
        <v>124</v>
      </c>
      <c r="H73" s="16">
        <v>5</v>
      </c>
      <c r="I73" s="16">
        <v>18.8</v>
      </c>
    </row>
    <row r="74" spans="1:9" ht="19.95" customHeight="1" x14ac:dyDescent="0.3">
      <c r="A74" s="14">
        <v>46038</v>
      </c>
      <c r="B74" s="15">
        <v>46039.174305555556</v>
      </c>
      <c r="C74" s="16" t="s">
        <v>70</v>
      </c>
      <c r="D74" s="16" t="s">
        <v>11</v>
      </c>
      <c r="E74" s="16">
        <v>94</v>
      </c>
      <c r="F74" s="16">
        <v>3624</v>
      </c>
      <c r="G74" s="16" t="s">
        <v>116</v>
      </c>
      <c r="H74" s="16">
        <v>15</v>
      </c>
      <c r="I74" s="16">
        <v>10</v>
      </c>
    </row>
    <row r="75" spans="1:9" ht="19.95" customHeight="1" x14ac:dyDescent="0.3">
      <c r="A75" s="14">
        <v>46038</v>
      </c>
      <c r="B75" s="15">
        <v>46039.172222222223</v>
      </c>
      <c r="C75" s="16" t="s">
        <v>70</v>
      </c>
      <c r="D75" s="16" t="s">
        <v>11</v>
      </c>
      <c r="E75" s="16">
        <v>52</v>
      </c>
      <c r="F75" s="16">
        <v>3043</v>
      </c>
      <c r="G75" s="16" t="s">
        <v>126</v>
      </c>
      <c r="H75" s="16">
        <v>2</v>
      </c>
      <c r="I75" s="16">
        <v>31.8</v>
      </c>
    </row>
    <row r="76" spans="1:9" ht="19.95" customHeight="1" x14ac:dyDescent="0.3">
      <c r="A76" s="14">
        <v>46038</v>
      </c>
      <c r="B76" s="15">
        <v>46039.154166666667</v>
      </c>
      <c r="C76" s="16" t="s">
        <v>70</v>
      </c>
      <c r="D76" s="16" t="s">
        <v>11</v>
      </c>
      <c r="E76" s="16">
        <v>81</v>
      </c>
      <c r="F76" s="16">
        <v>3079</v>
      </c>
      <c r="G76" s="16" t="s">
        <v>128</v>
      </c>
      <c r="H76" s="16">
        <v>15</v>
      </c>
      <c r="I76" s="16">
        <v>33.200000000000003</v>
      </c>
    </row>
    <row r="77" spans="1:9" ht="19.95" customHeight="1" x14ac:dyDescent="0.3">
      <c r="A77" s="14">
        <v>46038</v>
      </c>
      <c r="B77" s="15">
        <v>46039.150694444441</v>
      </c>
      <c r="C77" s="16" t="s">
        <v>70</v>
      </c>
      <c r="D77" s="16" t="s">
        <v>11</v>
      </c>
      <c r="E77" s="16">
        <v>62</v>
      </c>
      <c r="F77" s="16">
        <v>1496</v>
      </c>
      <c r="G77" s="16" t="s">
        <v>129</v>
      </c>
      <c r="H77" s="16">
        <v>9</v>
      </c>
      <c r="I77" s="16">
        <v>10</v>
      </c>
    </row>
    <row r="78" spans="1:9" ht="19.95" customHeight="1" x14ac:dyDescent="0.3">
      <c r="A78" s="14">
        <v>46038</v>
      </c>
      <c r="B78" s="15">
        <v>46039.149305555555</v>
      </c>
      <c r="C78" s="16" t="s">
        <v>70</v>
      </c>
      <c r="D78" s="16" t="s">
        <v>11</v>
      </c>
      <c r="E78" s="16">
        <v>60</v>
      </c>
      <c r="F78" s="16">
        <v>1496</v>
      </c>
      <c r="G78" s="16" t="s">
        <v>129</v>
      </c>
      <c r="H78" s="16">
        <v>9</v>
      </c>
      <c r="I78" s="16">
        <v>10</v>
      </c>
    </row>
    <row r="79" spans="1:9" ht="19.95" customHeight="1" x14ac:dyDescent="0.3">
      <c r="A79" s="14">
        <v>46038</v>
      </c>
      <c r="B79" s="15">
        <v>46039.09097222222</v>
      </c>
      <c r="C79" s="16" t="s">
        <v>70</v>
      </c>
      <c r="D79" s="16" t="s">
        <v>11</v>
      </c>
      <c r="E79" s="16">
        <v>401</v>
      </c>
      <c r="F79" s="16">
        <v>3730</v>
      </c>
      <c r="G79" s="16" t="s">
        <v>123</v>
      </c>
      <c r="H79" s="16">
        <v>2</v>
      </c>
      <c r="I79" s="16">
        <v>24.4</v>
      </c>
    </row>
    <row r="80" spans="1:9" ht="19.95" customHeight="1" x14ac:dyDescent="0.3">
      <c r="A80" s="14">
        <v>46038</v>
      </c>
      <c r="B80" s="15">
        <v>46039.090277777781</v>
      </c>
      <c r="C80" s="16" t="s">
        <v>70</v>
      </c>
      <c r="D80" s="16" t="s">
        <v>11</v>
      </c>
      <c r="E80" s="16">
        <v>402</v>
      </c>
      <c r="F80" s="16">
        <v>3730</v>
      </c>
      <c r="G80" s="16" t="s">
        <v>123</v>
      </c>
      <c r="H80" s="16">
        <v>2</v>
      </c>
      <c r="I80" s="16">
        <v>32</v>
      </c>
    </row>
    <row r="81" spans="1:9" ht="19.95" customHeight="1" x14ac:dyDescent="0.3">
      <c r="A81" s="14">
        <v>46038</v>
      </c>
      <c r="B81" s="15">
        <v>46039.084722222222</v>
      </c>
      <c r="C81" s="16" t="s">
        <v>70</v>
      </c>
      <c r="D81" s="16" t="s">
        <v>11</v>
      </c>
      <c r="E81" s="16">
        <v>63</v>
      </c>
      <c r="F81" s="16">
        <v>3610</v>
      </c>
      <c r="G81" s="16" t="s">
        <v>118</v>
      </c>
      <c r="H81" s="16">
        <v>8</v>
      </c>
      <c r="I81" s="16">
        <v>30.6</v>
      </c>
    </row>
    <row r="82" spans="1:9" ht="19.95" customHeight="1" x14ac:dyDescent="0.3">
      <c r="A82" s="14">
        <v>46038</v>
      </c>
      <c r="B82" s="15">
        <v>46039.083333333336</v>
      </c>
      <c r="C82" s="16" t="s">
        <v>70</v>
      </c>
      <c r="D82" s="16" t="s">
        <v>11</v>
      </c>
      <c r="E82" s="16">
        <v>55</v>
      </c>
      <c r="F82" s="16">
        <v>3756</v>
      </c>
      <c r="G82" s="16" t="s">
        <v>130</v>
      </c>
      <c r="H82" s="16">
        <v>14</v>
      </c>
      <c r="I82" s="16">
        <v>26.2</v>
      </c>
    </row>
    <row r="83" spans="1:9" ht="19.95" customHeight="1" x14ac:dyDescent="0.3">
      <c r="A83" s="14">
        <v>46038</v>
      </c>
      <c r="B83" s="15">
        <v>46039.081944444442</v>
      </c>
      <c r="C83" s="16" t="s">
        <v>70</v>
      </c>
      <c r="D83" s="16" t="s">
        <v>11</v>
      </c>
      <c r="E83" s="16">
        <v>70</v>
      </c>
      <c r="F83" s="16">
        <v>3049</v>
      </c>
      <c r="G83" s="16" t="s">
        <v>124</v>
      </c>
      <c r="H83" s="16">
        <v>5</v>
      </c>
      <c r="I83" s="16">
        <v>14.2</v>
      </c>
    </row>
    <row r="84" spans="1:9" ht="19.95" customHeight="1" x14ac:dyDescent="0.3">
      <c r="A84" s="14">
        <v>46038</v>
      </c>
      <c r="B84" s="15">
        <v>46039.069444444445</v>
      </c>
      <c r="C84" s="16" t="s">
        <v>70</v>
      </c>
      <c r="D84" s="16" t="s">
        <v>11</v>
      </c>
      <c r="E84" s="16">
        <v>472</v>
      </c>
      <c r="F84" s="16">
        <v>3607</v>
      </c>
      <c r="G84" s="16" t="s">
        <v>121</v>
      </c>
      <c r="H84" s="16">
        <v>24</v>
      </c>
      <c r="I84" s="16">
        <v>27</v>
      </c>
    </row>
    <row r="85" spans="1:9" ht="19.95" customHeight="1" x14ac:dyDescent="0.3">
      <c r="A85" s="14">
        <v>46038</v>
      </c>
      <c r="B85" s="15">
        <v>46039.068055555559</v>
      </c>
      <c r="C85" s="16" t="s">
        <v>70</v>
      </c>
      <c r="D85" s="16" t="s">
        <v>11</v>
      </c>
      <c r="E85" s="16">
        <v>471</v>
      </c>
      <c r="F85" s="16">
        <v>3607</v>
      </c>
      <c r="G85" s="16" t="s">
        <v>121</v>
      </c>
      <c r="H85" s="16">
        <v>24</v>
      </c>
      <c r="I85" s="16">
        <v>27.4</v>
      </c>
    </row>
    <row r="86" spans="1:9" ht="19.95" customHeight="1" x14ac:dyDescent="0.3">
      <c r="A86" s="14">
        <v>46038</v>
      </c>
      <c r="B86" s="15">
        <v>46039.026388888888</v>
      </c>
      <c r="C86" s="16" t="s">
        <v>70</v>
      </c>
      <c r="D86" s="16" t="s">
        <v>11</v>
      </c>
      <c r="E86" s="16">
        <v>73</v>
      </c>
      <c r="F86" s="16">
        <v>3692</v>
      </c>
      <c r="G86" s="16" t="s">
        <v>120</v>
      </c>
      <c r="H86" s="16">
        <v>15</v>
      </c>
      <c r="I86" s="16">
        <v>11</v>
      </c>
    </row>
    <row r="87" spans="1:9" ht="19.95" customHeight="1" x14ac:dyDescent="0.3">
      <c r="A87" s="14">
        <v>46038</v>
      </c>
      <c r="B87" s="15">
        <v>46039.009027777778</v>
      </c>
      <c r="C87" s="16" t="s">
        <v>70</v>
      </c>
      <c r="D87" s="16" t="s">
        <v>11</v>
      </c>
      <c r="E87" s="16">
        <v>431</v>
      </c>
      <c r="F87" s="16">
        <v>3586</v>
      </c>
      <c r="G87" s="16" t="s">
        <v>115</v>
      </c>
      <c r="H87" s="16">
        <v>9</v>
      </c>
      <c r="I87" s="16">
        <v>10</v>
      </c>
    </row>
    <row r="88" spans="1:9" ht="19.95" customHeight="1" x14ac:dyDescent="0.3">
      <c r="A88" s="14">
        <v>46038</v>
      </c>
      <c r="B88" s="15">
        <v>46039.005555555559</v>
      </c>
      <c r="C88" s="16" t="s">
        <v>70</v>
      </c>
      <c r="D88" s="16" t="s">
        <v>11</v>
      </c>
      <c r="E88" s="16">
        <v>95</v>
      </c>
      <c r="F88" s="16">
        <v>3692</v>
      </c>
      <c r="G88" s="16" t="s">
        <v>120</v>
      </c>
      <c r="H88" s="16">
        <v>15</v>
      </c>
      <c r="I88" s="16">
        <v>10</v>
      </c>
    </row>
    <row r="89" spans="1:9" ht="19.95" customHeight="1" x14ac:dyDescent="0.3">
      <c r="A89" s="14">
        <v>46038</v>
      </c>
      <c r="B89" s="15">
        <v>46039.003472222219</v>
      </c>
      <c r="C89" s="16" t="s">
        <v>70</v>
      </c>
      <c r="D89" s="16" t="s">
        <v>11</v>
      </c>
      <c r="E89" s="16">
        <v>462</v>
      </c>
      <c r="F89" s="16">
        <v>3607</v>
      </c>
      <c r="G89" s="16" t="s">
        <v>121</v>
      </c>
      <c r="H89" s="16">
        <v>24</v>
      </c>
      <c r="I89" s="16">
        <v>33.799999999999997</v>
      </c>
    </row>
    <row r="90" spans="1:9" ht="19.95" customHeight="1" x14ac:dyDescent="0.3">
      <c r="A90" s="14">
        <v>46038</v>
      </c>
      <c r="B90" s="15">
        <v>46039.00277777778</v>
      </c>
      <c r="C90" s="16" t="s">
        <v>70</v>
      </c>
      <c r="D90" s="16" t="s">
        <v>11</v>
      </c>
      <c r="E90" s="16">
        <v>461</v>
      </c>
      <c r="F90" s="16">
        <v>3607</v>
      </c>
      <c r="G90" s="16" t="s">
        <v>121</v>
      </c>
      <c r="H90" s="16">
        <v>24</v>
      </c>
      <c r="I90" s="16">
        <v>32.799999999999997</v>
      </c>
    </row>
    <row r="91" spans="1:9" ht="19.95" customHeight="1" x14ac:dyDescent="0.3">
      <c r="A91" s="14">
        <v>46038</v>
      </c>
      <c r="B91" s="15">
        <v>46038.998611111114</v>
      </c>
      <c r="C91" s="16" t="s">
        <v>70</v>
      </c>
      <c r="D91" s="16" t="s">
        <v>11</v>
      </c>
      <c r="E91" s="16">
        <v>502</v>
      </c>
      <c r="F91" s="16">
        <v>3615</v>
      </c>
      <c r="G91" s="16" t="s">
        <v>122</v>
      </c>
      <c r="H91" s="16">
        <v>4</v>
      </c>
      <c r="I91" s="16">
        <v>10</v>
      </c>
    </row>
    <row r="92" spans="1:9" ht="19.95" customHeight="1" x14ac:dyDescent="0.3">
      <c r="A92" s="14">
        <v>46038</v>
      </c>
      <c r="B92" s="15">
        <v>46038.99722222222</v>
      </c>
      <c r="C92" s="16" t="s">
        <v>70</v>
      </c>
      <c r="D92" s="16" t="s">
        <v>11</v>
      </c>
      <c r="E92" s="16">
        <v>501</v>
      </c>
      <c r="F92" s="16">
        <v>3615</v>
      </c>
      <c r="G92" s="16" t="s">
        <v>122</v>
      </c>
      <c r="H92" s="16">
        <v>4</v>
      </c>
      <c r="I92" s="16">
        <v>10</v>
      </c>
    </row>
    <row r="93" spans="1:9" ht="19.95" customHeight="1" x14ac:dyDescent="0.3">
      <c r="A93" s="14">
        <v>46038</v>
      </c>
      <c r="B93" s="15">
        <v>46038.996527777781</v>
      </c>
      <c r="C93" s="16" t="s">
        <v>70</v>
      </c>
      <c r="D93" s="16" t="s">
        <v>11</v>
      </c>
      <c r="E93" s="16">
        <v>54</v>
      </c>
      <c r="F93" s="16">
        <v>3423</v>
      </c>
      <c r="G93" s="16" t="s">
        <v>131</v>
      </c>
      <c r="H93" s="16">
        <v>5</v>
      </c>
      <c r="I93" s="16">
        <v>10</v>
      </c>
    </row>
    <row r="94" spans="1:9" ht="19.95" customHeight="1" x14ac:dyDescent="0.3">
      <c r="A94" s="14">
        <v>46038</v>
      </c>
      <c r="B94" s="15">
        <v>46038.993750000001</v>
      </c>
      <c r="C94" s="16" t="s">
        <v>70</v>
      </c>
      <c r="D94" s="16" t="s">
        <v>11</v>
      </c>
      <c r="E94" s="16">
        <v>501</v>
      </c>
      <c r="F94" s="16">
        <v>3615</v>
      </c>
      <c r="G94" s="16" t="s">
        <v>122</v>
      </c>
      <c r="H94" s="16">
        <v>4</v>
      </c>
      <c r="I94" s="16">
        <v>31.2</v>
      </c>
    </row>
    <row r="95" spans="1:9" ht="19.95" customHeight="1" x14ac:dyDescent="0.3">
      <c r="A95" s="14">
        <v>46038</v>
      </c>
      <c r="B95" s="15">
        <v>46038.992361111108</v>
      </c>
      <c r="C95" s="16" t="s">
        <v>70</v>
      </c>
      <c r="D95" s="16" t="s">
        <v>11</v>
      </c>
      <c r="E95" s="16">
        <v>412</v>
      </c>
      <c r="F95" s="16">
        <v>3730</v>
      </c>
      <c r="G95" s="16" t="s">
        <v>123</v>
      </c>
      <c r="H95" s="16">
        <v>2</v>
      </c>
      <c r="I95" s="16">
        <v>11</v>
      </c>
    </row>
    <row r="96" spans="1:9" ht="19.95" customHeight="1" x14ac:dyDescent="0.3">
      <c r="A96" s="14">
        <v>46038</v>
      </c>
      <c r="B96" s="15">
        <v>46038.990972222222</v>
      </c>
      <c r="C96" s="16" t="s">
        <v>70</v>
      </c>
      <c r="D96" s="16" t="s">
        <v>11</v>
      </c>
      <c r="E96" s="16">
        <v>411</v>
      </c>
      <c r="F96" s="16">
        <v>3730</v>
      </c>
      <c r="G96" s="16" t="s">
        <v>123</v>
      </c>
      <c r="H96" s="16">
        <v>2</v>
      </c>
      <c r="I96" s="16">
        <v>11</v>
      </c>
    </row>
    <row r="97" spans="1:9" ht="19.95" customHeight="1" x14ac:dyDescent="0.3">
      <c r="A97" s="14">
        <v>46038</v>
      </c>
      <c r="B97" s="15">
        <v>46038.989583333336</v>
      </c>
      <c r="C97" s="16" t="s">
        <v>70</v>
      </c>
      <c r="D97" s="16" t="s">
        <v>11</v>
      </c>
      <c r="E97" s="16">
        <v>512</v>
      </c>
      <c r="F97" s="16">
        <v>3615</v>
      </c>
      <c r="G97" s="16" t="s">
        <v>122</v>
      </c>
      <c r="H97" s="16">
        <v>4</v>
      </c>
      <c r="I97" s="16">
        <v>11.8</v>
      </c>
    </row>
    <row r="98" spans="1:9" ht="19.95" customHeight="1" x14ac:dyDescent="0.3">
      <c r="A98" s="14">
        <v>46038</v>
      </c>
      <c r="B98" s="15">
        <v>46038.988194444442</v>
      </c>
      <c r="C98" s="16" t="s">
        <v>70</v>
      </c>
      <c r="D98" s="16" t="s">
        <v>11</v>
      </c>
      <c r="E98" s="16">
        <v>511</v>
      </c>
      <c r="F98" s="16">
        <v>3615</v>
      </c>
      <c r="G98" s="16" t="s">
        <v>122</v>
      </c>
      <c r="H98" s="16">
        <v>4</v>
      </c>
      <c r="I98" s="16">
        <v>19.600000000000001</v>
      </c>
    </row>
    <row r="99" spans="1:9" ht="19.95" customHeight="1" x14ac:dyDescent="0.3">
      <c r="A99" s="14">
        <v>46038</v>
      </c>
      <c r="B99" s="15">
        <v>46038.979861111111</v>
      </c>
      <c r="C99" s="16" t="s">
        <v>70</v>
      </c>
      <c r="D99" s="16" t="s">
        <v>11</v>
      </c>
      <c r="E99" s="16">
        <v>492</v>
      </c>
      <c r="F99" s="16">
        <v>3607</v>
      </c>
      <c r="G99" s="16" t="s">
        <v>121</v>
      </c>
      <c r="H99" s="16">
        <v>24</v>
      </c>
      <c r="I99" s="16">
        <v>10</v>
      </c>
    </row>
    <row r="100" spans="1:9" ht="19.95" customHeight="1" x14ac:dyDescent="0.3">
      <c r="A100" s="14">
        <v>46038</v>
      </c>
      <c r="B100" s="15">
        <v>46038.978472222225</v>
      </c>
      <c r="C100" s="16" t="s">
        <v>70</v>
      </c>
      <c r="D100" s="16" t="s">
        <v>11</v>
      </c>
      <c r="E100" s="16">
        <v>491</v>
      </c>
      <c r="F100" s="16">
        <v>3607</v>
      </c>
      <c r="G100" s="16" t="s">
        <v>121</v>
      </c>
      <c r="H100" s="16">
        <v>24</v>
      </c>
      <c r="I100" s="16">
        <v>10</v>
      </c>
    </row>
    <row r="101" spans="1:9" ht="19.95" customHeight="1" x14ac:dyDescent="0.3">
      <c r="A101" s="14">
        <v>46038</v>
      </c>
      <c r="B101" s="15">
        <v>46038.977083333331</v>
      </c>
      <c r="C101" s="16" t="s">
        <v>70</v>
      </c>
      <c r="D101" s="16" t="s">
        <v>11</v>
      </c>
      <c r="E101" s="16">
        <v>491</v>
      </c>
      <c r="F101" s="16">
        <v>3607</v>
      </c>
      <c r="G101" s="16" t="s">
        <v>121</v>
      </c>
      <c r="H101" s="16">
        <v>24</v>
      </c>
      <c r="I101" s="16">
        <v>93.8</v>
      </c>
    </row>
    <row r="102" spans="1:9" ht="19.95" customHeight="1" x14ac:dyDescent="0.3">
      <c r="A102" s="14">
        <v>46038</v>
      </c>
      <c r="B102" s="15">
        <v>46038.974999999999</v>
      </c>
      <c r="C102" s="16" t="s">
        <v>70</v>
      </c>
      <c r="D102" s="16" t="s">
        <v>11</v>
      </c>
      <c r="E102" s="16">
        <v>56</v>
      </c>
      <c r="F102" s="16">
        <v>3756</v>
      </c>
      <c r="G102" s="16" t="s">
        <v>130</v>
      </c>
      <c r="H102" s="16">
        <v>14</v>
      </c>
      <c r="I102" s="16">
        <v>16.2</v>
      </c>
    </row>
    <row r="103" spans="1:9" ht="19.95" customHeight="1" x14ac:dyDescent="0.3">
      <c r="A103" s="14">
        <v>46038</v>
      </c>
      <c r="B103" s="15">
        <v>46038.974305555559</v>
      </c>
      <c r="C103" s="16" t="s">
        <v>70</v>
      </c>
      <c r="D103" s="16" t="s">
        <v>11</v>
      </c>
      <c r="E103" s="16">
        <v>422</v>
      </c>
      <c r="F103" s="16">
        <v>3586</v>
      </c>
      <c r="G103" s="16" t="s">
        <v>115</v>
      </c>
      <c r="H103" s="16">
        <v>9</v>
      </c>
      <c r="I103" s="16">
        <v>104</v>
      </c>
    </row>
    <row r="104" spans="1:9" ht="19.95" customHeight="1" x14ac:dyDescent="0.3">
      <c r="A104" s="14">
        <v>46038</v>
      </c>
      <c r="B104" s="15">
        <v>46038.972916666666</v>
      </c>
      <c r="C104" s="16" t="s">
        <v>70</v>
      </c>
      <c r="D104" s="16" t="s">
        <v>11</v>
      </c>
      <c r="E104" s="16">
        <v>421</v>
      </c>
      <c r="F104" s="16">
        <v>3586</v>
      </c>
      <c r="G104" s="16" t="s">
        <v>115</v>
      </c>
      <c r="H104" s="16">
        <v>9</v>
      </c>
      <c r="I104" s="16">
        <v>15</v>
      </c>
    </row>
    <row r="105" spans="1:9" ht="19.95" customHeight="1" x14ac:dyDescent="0.3">
      <c r="A105" s="14">
        <v>46038</v>
      </c>
      <c r="B105" s="15">
        <v>46038.938194444447</v>
      </c>
      <c r="C105" s="16" t="s">
        <v>8</v>
      </c>
      <c r="D105" s="16" t="s">
        <v>5</v>
      </c>
      <c r="E105" s="16">
        <v>76</v>
      </c>
      <c r="F105" s="16">
        <v>999</v>
      </c>
      <c r="G105" s="16" t="s">
        <v>119</v>
      </c>
      <c r="H105" s="16">
        <v>1</v>
      </c>
      <c r="I105" s="16">
        <v>20.6</v>
      </c>
    </row>
    <row r="106" spans="1:9" ht="19.95" customHeight="1" x14ac:dyDescent="0.3">
      <c r="A106" s="14">
        <v>46038</v>
      </c>
      <c r="B106" s="15">
        <v>46038.921527777777</v>
      </c>
      <c r="C106" s="16" t="s">
        <v>8</v>
      </c>
      <c r="D106" s="16" t="s">
        <v>5</v>
      </c>
      <c r="E106" s="16">
        <v>94</v>
      </c>
      <c r="F106" s="16">
        <v>3624</v>
      </c>
      <c r="G106" s="16" t="s">
        <v>116</v>
      </c>
      <c r="H106" s="16">
        <v>15</v>
      </c>
      <c r="I106" s="16">
        <v>16.600000000000001</v>
      </c>
    </row>
    <row r="107" spans="1:9" ht="19.95" customHeight="1" x14ac:dyDescent="0.3">
      <c r="A107" s="14">
        <v>46038</v>
      </c>
      <c r="B107" s="15">
        <v>46038.910416666666</v>
      </c>
      <c r="C107" s="16" t="s">
        <v>8</v>
      </c>
      <c r="D107" s="16" t="s">
        <v>5</v>
      </c>
      <c r="E107" s="16">
        <v>4802</v>
      </c>
      <c r="F107" s="16">
        <v>3607</v>
      </c>
      <c r="G107" s="16" t="s">
        <v>121</v>
      </c>
      <c r="H107" s="16">
        <v>24</v>
      </c>
      <c r="I107" s="16">
        <v>10.199999999999999</v>
      </c>
    </row>
    <row r="108" spans="1:9" ht="19.95" customHeight="1" x14ac:dyDescent="0.3">
      <c r="A108" s="14">
        <v>46038</v>
      </c>
      <c r="B108" s="15">
        <v>46038.90902777778</v>
      </c>
      <c r="C108" s="16" t="s">
        <v>8</v>
      </c>
      <c r="D108" s="16" t="s">
        <v>5</v>
      </c>
      <c r="E108" s="16">
        <v>4801</v>
      </c>
      <c r="F108" s="16">
        <v>3607</v>
      </c>
      <c r="G108" s="16" t="s">
        <v>121</v>
      </c>
      <c r="H108" s="16">
        <v>24</v>
      </c>
      <c r="I108" s="16">
        <v>10.199999999999999</v>
      </c>
    </row>
    <row r="109" spans="1:9" ht="19.95" customHeight="1" x14ac:dyDescent="0.3">
      <c r="A109" s="14">
        <v>46038</v>
      </c>
      <c r="B109" s="15">
        <v>46038.892361111109</v>
      </c>
      <c r="C109" s="16" t="s">
        <v>8</v>
      </c>
      <c r="D109" s="16" t="s">
        <v>5</v>
      </c>
      <c r="E109" s="16">
        <v>432</v>
      </c>
      <c r="F109" s="16">
        <v>3586</v>
      </c>
      <c r="G109" s="16" t="s">
        <v>115</v>
      </c>
      <c r="H109" s="16">
        <v>8</v>
      </c>
      <c r="I109" s="16">
        <v>10</v>
      </c>
    </row>
    <row r="110" spans="1:9" ht="19.95" customHeight="1" x14ac:dyDescent="0.3">
      <c r="A110" s="14">
        <v>46038</v>
      </c>
      <c r="B110" s="15">
        <v>46038.890972222223</v>
      </c>
      <c r="C110" s="16" t="s">
        <v>8</v>
      </c>
      <c r="D110" s="16" t="s">
        <v>5</v>
      </c>
      <c r="E110" s="16">
        <v>431</v>
      </c>
      <c r="F110" s="16">
        <v>3586</v>
      </c>
      <c r="G110" s="16" t="s">
        <v>115</v>
      </c>
      <c r="H110" s="16">
        <v>8</v>
      </c>
      <c r="I110" s="16">
        <v>10</v>
      </c>
    </row>
    <row r="111" spans="1:9" ht="19.95" customHeight="1" x14ac:dyDescent="0.3">
      <c r="A111" s="14">
        <v>46038</v>
      </c>
      <c r="B111" s="15">
        <v>46038.887499999997</v>
      </c>
      <c r="C111" s="16" t="s">
        <v>8</v>
      </c>
      <c r="D111" s="16" t="s">
        <v>5</v>
      </c>
      <c r="E111" s="16">
        <v>422</v>
      </c>
      <c r="F111" s="16">
        <v>3586</v>
      </c>
      <c r="G111" s="16" t="s">
        <v>115</v>
      </c>
      <c r="H111" s="16">
        <v>8</v>
      </c>
      <c r="I111" s="16">
        <v>11</v>
      </c>
    </row>
    <row r="112" spans="1:9" ht="19.95" customHeight="1" x14ac:dyDescent="0.3">
      <c r="A112" s="14">
        <v>46038</v>
      </c>
      <c r="B112" s="15">
        <v>46038.886805555558</v>
      </c>
      <c r="C112" s="16" t="s">
        <v>8</v>
      </c>
      <c r="D112" s="16" t="s">
        <v>5</v>
      </c>
      <c r="E112" s="16">
        <v>421</v>
      </c>
      <c r="F112" s="16">
        <v>3586</v>
      </c>
      <c r="G112" s="16" t="s">
        <v>115</v>
      </c>
      <c r="H112" s="16">
        <v>8</v>
      </c>
      <c r="I112" s="16">
        <v>11.4</v>
      </c>
    </row>
    <row r="113" spans="1:9" ht="19.95" customHeight="1" x14ac:dyDescent="0.3">
      <c r="A113" s="14">
        <v>46038</v>
      </c>
      <c r="B113" s="15">
        <v>46038.819444444445</v>
      </c>
      <c r="C113" s="16" t="s">
        <v>8</v>
      </c>
      <c r="D113" s="16" t="s">
        <v>5</v>
      </c>
      <c r="E113" s="16">
        <v>55</v>
      </c>
      <c r="F113" s="16">
        <v>3756</v>
      </c>
      <c r="G113" s="16" t="s">
        <v>130</v>
      </c>
      <c r="H113" s="16">
        <v>13</v>
      </c>
      <c r="I113" s="16">
        <v>11.6</v>
      </c>
    </row>
    <row r="114" spans="1:9" ht="19.95" customHeight="1" x14ac:dyDescent="0.3">
      <c r="A114" s="14">
        <v>46038</v>
      </c>
      <c r="B114" s="15">
        <v>46038.8125</v>
      </c>
      <c r="C114" s="16" t="s">
        <v>8</v>
      </c>
      <c r="D114" s="16" t="s">
        <v>5</v>
      </c>
      <c r="E114" s="16">
        <v>412</v>
      </c>
      <c r="F114" s="16">
        <v>3730</v>
      </c>
      <c r="G114" s="16" t="s">
        <v>123</v>
      </c>
      <c r="H114" s="16">
        <v>2</v>
      </c>
      <c r="I114" s="16">
        <v>10.4</v>
      </c>
    </row>
    <row r="115" spans="1:9" ht="19.95" customHeight="1" x14ac:dyDescent="0.3">
      <c r="A115" s="14">
        <v>46038</v>
      </c>
      <c r="B115" s="15">
        <v>46038.811111111114</v>
      </c>
      <c r="C115" s="16" t="s">
        <v>8</v>
      </c>
      <c r="D115" s="16" t="s">
        <v>5</v>
      </c>
      <c r="E115" s="16">
        <v>411</v>
      </c>
      <c r="F115" s="16">
        <v>3730</v>
      </c>
      <c r="G115" s="16" t="s">
        <v>123</v>
      </c>
      <c r="H115" s="16">
        <v>2</v>
      </c>
      <c r="I115" s="16">
        <v>10.8</v>
      </c>
    </row>
    <row r="116" spans="1:9" ht="19.95" customHeight="1" x14ac:dyDescent="0.3">
      <c r="A116" s="14">
        <v>46038</v>
      </c>
      <c r="B116" s="15">
        <v>46038.777777777781</v>
      </c>
      <c r="C116" s="16" t="s">
        <v>8</v>
      </c>
      <c r="D116" s="16" t="s">
        <v>5</v>
      </c>
      <c r="E116" s="16">
        <v>94</v>
      </c>
      <c r="F116" s="16">
        <v>3624</v>
      </c>
      <c r="G116" s="16" t="s">
        <v>116</v>
      </c>
      <c r="H116" s="16">
        <v>14</v>
      </c>
      <c r="I116" s="16">
        <v>12.4</v>
      </c>
    </row>
    <row r="117" spans="1:9" ht="19.95" customHeight="1" x14ac:dyDescent="0.3">
      <c r="A117" s="14">
        <v>46038</v>
      </c>
      <c r="B117" s="15">
        <v>46038.776388888888</v>
      </c>
      <c r="C117" s="16" t="s">
        <v>8</v>
      </c>
      <c r="D117" s="16" t="s">
        <v>5</v>
      </c>
      <c r="E117" s="16">
        <v>94</v>
      </c>
      <c r="F117" s="16">
        <v>3624</v>
      </c>
      <c r="G117" s="16" t="s">
        <v>116</v>
      </c>
      <c r="H117" s="16">
        <v>14</v>
      </c>
      <c r="I117" s="16">
        <v>29.8</v>
      </c>
    </row>
    <row r="118" spans="1:9" ht="19.95" customHeight="1" x14ac:dyDescent="0.3">
      <c r="A118" s="14">
        <v>46038</v>
      </c>
      <c r="B118" s="15">
        <v>46038.775000000001</v>
      </c>
      <c r="C118" s="16" t="s">
        <v>8</v>
      </c>
      <c r="D118" s="16" t="s">
        <v>5</v>
      </c>
      <c r="E118" s="16">
        <v>402</v>
      </c>
      <c r="F118" s="16">
        <v>3730</v>
      </c>
      <c r="G118" s="16" t="s">
        <v>123</v>
      </c>
      <c r="H118" s="16">
        <v>2</v>
      </c>
      <c r="I118" s="16">
        <v>28.8</v>
      </c>
    </row>
    <row r="119" spans="1:9" ht="19.95" customHeight="1" x14ac:dyDescent="0.3">
      <c r="A119" s="14">
        <v>46038</v>
      </c>
      <c r="B119" s="15">
        <v>46038.774305555555</v>
      </c>
      <c r="C119" s="16" t="s">
        <v>8</v>
      </c>
      <c r="D119" s="16" t="s">
        <v>5</v>
      </c>
      <c r="E119" s="16">
        <v>401</v>
      </c>
      <c r="F119" s="16">
        <v>3730</v>
      </c>
      <c r="G119" s="16" t="s">
        <v>123</v>
      </c>
      <c r="H119" s="16">
        <v>2</v>
      </c>
      <c r="I119" s="16">
        <v>28.4</v>
      </c>
    </row>
    <row r="120" spans="1:9" ht="19.95" customHeight="1" x14ac:dyDescent="0.3">
      <c r="A120" s="14">
        <v>46038</v>
      </c>
      <c r="B120" s="15">
        <v>46038.772916666669</v>
      </c>
      <c r="C120" s="16" t="s">
        <v>8</v>
      </c>
      <c r="D120" s="16" t="s">
        <v>5</v>
      </c>
      <c r="E120" s="16">
        <v>54</v>
      </c>
      <c r="F120" s="16">
        <v>3423</v>
      </c>
      <c r="G120" s="16" t="s">
        <v>131</v>
      </c>
      <c r="H120" s="16">
        <v>5</v>
      </c>
      <c r="I120" s="16">
        <v>104.2</v>
      </c>
    </row>
    <row r="121" spans="1:9" ht="19.95" customHeight="1" x14ac:dyDescent="0.3">
      <c r="A121" s="14">
        <v>46038</v>
      </c>
      <c r="B121" s="15">
        <v>46038.757638888892</v>
      </c>
      <c r="C121" s="16" t="s">
        <v>8</v>
      </c>
      <c r="D121" s="16" t="s">
        <v>5</v>
      </c>
      <c r="E121" s="16">
        <v>502</v>
      </c>
      <c r="F121" s="16">
        <v>3615</v>
      </c>
      <c r="G121" s="16" t="s">
        <v>122</v>
      </c>
      <c r="H121" s="16">
        <v>3</v>
      </c>
      <c r="I121" s="16">
        <v>11.4</v>
      </c>
    </row>
    <row r="122" spans="1:9" ht="19.95" customHeight="1" x14ac:dyDescent="0.3">
      <c r="A122" s="14">
        <v>46038</v>
      </c>
      <c r="B122" s="15">
        <v>46038.755555555559</v>
      </c>
      <c r="C122" s="16" t="s">
        <v>8</v>
      </c>
      <c r="D122" s="16" t="s">
        <v>5</v>
      </c>
      <c r="E122" s="16">
        <v>501</v>
      </c>
      <c r="F122" s="16">
        <v>3615</v>
      </c>
      <c r="G122" s="16" t="s">
        <v>122</v>
      </c>
      <c r="H122" s="16">
        <v>3</v>
      </c>
      <c r="I122" s="16">
        <v>10</v>
      </c>
    </row>
    <row r="123" spans="1:9" ht="19.95" customHeight="1" x14ac:dyDescent="0.3">
      <c r="A123" s="14">
        <v>46038</v>
      </c>
      <c r="B123" s="15">
        <v>46038.722222222219</v>
      </c>
      <c r="C123" s="16" t="s">
        <v>8</v>
      </c>
      <c r="D123" s="16" t="s">
        <v>5</v>
      </c>
      <c r="E123" s="16">
        <v>56</v>
      </c>
      <c r="F123" s="16">
        <v>3756</v>
      </c>
      <c r="G123" s="16" t="s">
        <v>130</v>
      </c>
      <c r="H123" s="16">
        <v>13</v>
      </c>
      <c r="I123" s="16">
        <v>10.8</v>
      </c>
    </row>
    <row r="124" spans="1:9" ht="19.95" customHeight="1" x14ac:dyDescent="0.3">
      <c r="A124" s="14">
        <v>46038</v>
      </c>
      <c r="B124" s="15">
        <v>46038.695138888892</v>
      </c>
      <c r="C124" s="16" t="s">
        <v>8</v>
      </c>
      <c r="D124" s="16" t="s">
        <v>5</v>
      </c>
      <c r="E124" s="16">
        <v>73</v>
      </c>
      <c r="F124" s="16">
        <v>3692</v>
      </c>
      <c r="G124" s="16" t="s">
        <v>120</v>
      </c>
      <c r="H124" s="16">
        <v>14</v>
      </c>
      <c r="I124" s="16">
        <v>10</v>
      </c>
    </row>
    <row r="125" spans="1:9" ht="19.95" customHeight="1" x14ac:dyDescent="0.3">
      <c r="A125" s="14">
        <v>46038</v>
      </c>
      <c r="B125" s="15">
        <v>46038.685416666667</v>
      </c>
      <c r="C125" s="16" t="s">
        <v>8</v>
      </c>
      <c r="D125" s="16" t="s">
        <v>5</v>
      </c>
      <c r="E125" s="16">
        <v>81</v>
      </c>
      <c r="F125" s="16">
        <v>3692</v>
      </c>
      <c r="G125" s="16" t="s">
        <v>120</v>
      </c>
      <c r="H125" s="16">
        <v>14</v>
      </c>
      <c r="I125" s="16">
        <v>20.6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D6A8-A832-4727-AEEF-E793A09042F1}">
  <dimension ref="A2:G43"/>
  <sheetViews>
    <sheetView workbookViewId="0">
      <selection activeCell="H1" sqref="H1"/>
    </sheetView>
  </sheetViews>
  <sheetFormatPr defaultRowHeight="14.4" x14ac:dyDescent="0.3"/>
  <cols>
    <col min="1" max="1" width="10.77734375" bestFit="1" customWidth="1"/>
    <col min="2" max="2" width="14.33203125" bestFit="1" customWidth="1"/>
    <col min="3" max="3" width="12.6640625" bestFit="1" customWidth="1"/>
    <col min="4" max="4" width="14.33203125" bestFit="1" customWidth="1"/>
    <col min="5" max="5" width="12.6640625" bestFit="1" customWidth="1"/>
    <col min="6" max="6" width="14.33203125" bestFit="1" customWidth="1"/>
    <col min="7" max="7" width="12.6640625" bestFit="1" customWidth="1"/>
  </cols>
  <sheetData>
    <row r="2" spans="1:7" x14ac:dyDescent="0.3">
      <c r="A2" s="19"/>
      <c r="B2" s="40">
        <v>46020</v>
      </c>
      <c r="C2" s="19"/>
      <c r="D2" s="19"/>
      <c r="E2" s="19"/>
      <c r="F2" s="19"/>
      <c r="G2" s="19"/>
    </row>
    <row r="3" spans="1:7" x14ac:dyDescent="0.3">
      <c r="A3" s="11"/>
      <c r="B3" s="11" t="s">
        <v>66</v>
      </c>
      <c r="C3" s="11"/>
      <c r="D3" s="11" t="s">
        <v>8</v>
      </c>
      <c r="E3" s="11"/>
      <c r="F3" s="11" t="s">
        <v>70</v>
      </c>
      <c r="G3" s="11"/>
    </row>
    <row r="4" spans="1:7" x14ac:dyDescent="0.3">
      <c r="A4" s="41" t="s">
        <v>107</v>
      </c>
      <c r="B4" s="11" t="s">
        <v>137</v>
      </c>
      <c r="C4" s="11" t="s">
        <v>138</v>
      </c>
      <c r="D4" s="11" t="s">
        <v>137</v>
      </c>
      <c r="E4" s="11" t="s">
        <v>138</v>
      </c>
      <c r="F4" s="11" t="s">
        <v>137</v>
      </c>
      <c r="G4" s="11" t="s">
        <v>138</v>
      </c>
    </row>
    <row r="5" spans="1:7" x14ac:dyDescent="0.3">
      <c r="A5" s="6">
        <v>52</v>
      </c>
      <c r="B5" s="7">
        <v>19</v>
      </c>
      <c r="C5" s="6">
        <v>1</v>
      </c>
      <c r="D5" s="6">
        <v>19</v>
      </c>
      <c r="E5" s="6">
        <v>1</v>
      </c>
      <c r="F5" s="6">
        <v>26</v>
      </c>
      <c r="G5" s="6">
        <v>1</v>
      </c>
    </row>
    <row r="6" spans="1:7" x14ac:dyDescent="0.3">
      <c r="A6" s="6">
        <v>54</v>
      </c>
      <c r="B6" s="6">
        <v>11.4</v>
      </c>
      <c r="C6" s="6">
        <v>1</v>
      </c>
      <c r="D6" s="6">
        <v>17.2</v>
      </c>
      <c r="E6" s="6">
        <v>2</v>
      </c>
      <c r="F6" s="6">
        <v>12.6</v>
      </c>
      <c r="G6" s="6">
        <v>1</v>
      </c>
    </row>
    <row r="7" spans="1:7" x14ac:dyDescent="0.3">
      <c r="A7" s="6">
        <v>55</v>
      </c>
      <c r="B7" s="6"/>
      <c r="C7" s="6"/>
      <c r="D7" s="6"/>
      <c r="E7" s="6"/>
      <c r="F7" s="6">
        <v>13</v>
      </c>
      <c r="G7" s="6">
        <v>1</v>
      </c>
    </row>
    <row r="8" spans="1:7" x14ac:dyDescent="0.3">
      <c r="A8" s="6">
        <v>56</v>
      </c>
      <c r="B8" s="6"/>
      <c r="C8" s="6"/>
      <c r="D8" s="6"/>
      <c r="E8" s="6"/>
      <c r="F8" s="6">
        <v>10</v>
      </c>
      <c r="G8" s="6">
        <v>1</v>
      </c>
    </row>
    <row r="9" spans="1:7" x14ac:dyDescent="0.3">
      <c r="A9" s="25">
        <v>62</v>
      </c>
      <c r="B9" s="6"/>
      <c r="C9" s="6"/>
      <c r="D9" s="6">
        <v>10</v>
      </c>
      <c r="E9" s="6">
        <v>1</v>
      </c>
      <c r="F9" s="6">
        <v>33.200000000000003</v>
      </c>
      <c r="G9" s="6">
        <v>1</v>
      </c>
    </row>
    <row r="10" spans="1:7" x14ac:dyDescent="0.3">
      <c r="A10" s="6">
        <v>63</v>
      </c>
      <c r="B10" s="6"/>
      <c r="C10" s="6"/>
      <c r="D10" s="6">
        <v>10</v>
      </c>
      <c r="E10" s="6">
        <v>1</v>
      </c>
      <c r="F10" s="6">
        <v>12.2</v>
      </c>
      <c r="G10" s="6">
        <v>1</v>
      </c>
    </row>
    <row r="11" spans="1:7" x14ac:dyDescent="0.3">
      <c r="A11" s="25">
        <v>70</v>
      </c>
      <c r="B11" s="6">
        <v>10.6</v>
      </c>
      <c r="C11" s="6">
        <v>1</v>
      </c>
      <c r="D11" s="6">
        <v>11.6</v>
      </c>
      <c r="E11" s="6">
        <v>3</v>
      </c>
      <c r="F11" s="6">
        <v>18</v>
      </c>
      <c r="G11" s="6">
        <v>1</v>
      </c>
    </row>
    <row r="12" spans="1:7" x14ac:dyDescent="0.3">
      <c r="A12" s="6">
        <v>73</v>
      </c>
      <c r="B12" s="6">
        <v>10</v>
      </c>
      <c r="C12" s="6">
        <v>1</v>
      </c>
      <c r="D12" s="6">
        <v>10</v>
      </c>
      <c r="E12" s="6">
        <v>1</v>
      </c>
      <c r="F12" s="6">
        <v>10</v>
      </c>
      <c r="G12" s="6">
        <v>1</v>
      </c>
    </row>
    <row r="13" spans="1:7" x14ac:dyDescent="0.3">
      <c r="A13" s="6">
        <v>78</v>
      </c>
      <c r="B13" s="6">
        <v>10</v>
      </c>
      <c r="C13" s="6">
        <v>1</v>
      </c>
      <c r="D13" s="6">
        <v>10.4</v>
      </c>
      <c r="E13" s="6">
        <v>2</v>
      </c>
      <c r="F13" s="6">
        <v>20.8</v>
      </c>
      <c r="G13" s="6">
        <v>1</v>
      </c>
    </row>
    <row r="14" spans="1:7" x14ac:dyDescent="0.3">
      <c r="A14" s="6">
        <v>94</v>
      </c>
      <c r="B14" s="6">
        <v>23</v>
      </c>
      <c r="C14" s="6">
        <v>1</v>
      </c>
      <c r="D14" s="6">
        <v>27.4</v>
      </c>
      <c r="E14" s="6">
        <v>1</v>
      </c>
      <c r="F14" s="6">
        <v>36.6</v>
      </c>
      <c r="G14" s="6">
        <v>1</v>
      </c>
    </row>
    <row r="15" spans="1:7" x14ac:dyDescent="0.3">
      <c r="A15" s="6">
        <v>95</v>
      </c>
      <c r="B15" s="6">
        <v>16.8</v>
      </c>
      <c r="C15" s="6">
        <v>1</v>
      </c>
      <c r="D15" s="6">
        <v>26</v>
      </c>
      <c r="E15" s="6">
        <v>1</v>
      </c>
      <c r="F15" s="6">
        <v>12.6</v>
      </c>
      <c r="G15" s="6">
        <v>1</v>
      </c>
    </row>
    <row r="16" spans="1:7" x14ac:dyDescent="0.3">
      <c r="A16" s="6">
        <v>401</v>
      </c>
      <c r="B16" s="6">
        <v>11.4</v>
      </c>
      <c r="C16" s="6">
        <v>1</v>
      </c>
      <c r="D16" s="6">
        <v>13.4</v>
      </c>
      <c r="E16" s="6">
        <v>1</v>
      </c>
      <c r="F16" s="6">
        <v>14.6</v>
      </c>
      <c r="G16" s="6">
        <v>1</v>
      </c>
    </row>
    <row r="17" spans="1:7" x14ac:dyDescent="0.3">
      <c r="A17" s="6">
        <v>402</v>
      </c>
      <c r="B17" s="6">
        <v>11.2</v>
      </c>
      <c r="C17" s="6">
        <v>1</v>
      </c>
      <c r="D17" s="6">
        <v>42.2</v>
      </c>
      <c r="E17" s="6">
        <v>1</v>
      </c>
      <c r="F17" s="6">
        <v>23.2</v>
      </c>
      <c r="G17" s="6">
        <v>1</v>
      </c>
    </row>
    <row r="18" spans="1:7" x14ac:dyDescent="0.3">
      <c r="A18" s="6">
        <v>411</v>
      </c>
      <c r="B18" s="6">
        <v>139.46666666666667</v>
      </c>
      <c r="C18" s="6">
        <v>3</v>
      </c>
      <c r="D18" s="6">
        <v>10</v>
      </c>
      <c r="E18" s="6">
        <v>1</v>
      </c>
      <c r="F18" s="6">
        <v>11.8</v>
      </c>
      <c r="G18" s="6">
        <v>1</v>
      </c>
    </row>
    <row r="19" spans="1:7" x14ac:dyDescent="0.3">
      <c r="A19" s="6">
        <v>412</v>
      </c>
      <c r="B19" s="6">
        <v>10</v>
      </c>
      <c r="C19" s="6">
        <v>1</v>
      </c>
      <c r="D19" s="6">
        <v>13</v>
      </c>
      <c r="E19" s="6">
        <v>1</v>
      </c>
      <c r="F19" s="6">
        <v>10</v>
      </c>
      <c r="G19" s="6">
        <v>1</v>
      </c>
    </row>
    <row r="20" spans="1:7" x14ac:dyDescent="0.3">
      <c r="A20" s="6">
        <v>421</v>
      </c>
      <c r="B20" s="6">
        <v>10</v>
      </c>
      <c r="C20" s="6">
        <v>1</v>
      </c>
      <c r="D20" s="6">
        <v>24.6</v>
      </c>
      <c r="E20" s="6">
        <v>1</v>
      </c>
      <c r="F20" s="6">
        <v>10</v>
      </c>
      <c r="G20" s="6">
        <v>1</v>
      </c>
    </row>
    <row r="21" spans="1:7" x14ac:dyDescent="0.3">
      <c r="A21" s="6">
        <v>422</v>
      </c>
      <c r="B21" s="6">
        <v>10</v>
      </c>
      <c r="C21" s="6">
        <v>1</v>
      </c>
      <c r="D21" s="6">
        <v>11.4</v>
      </c>
      <c r="E21" s="6">
        <v>1</v>
      </c>
      <c r="F21" s="6">
        <v>10</v>
      </c>
      <c r="G21" s="6">
        <v>1</v>
      </c>
    </row>
    <row r="22" spans="1:7" x14ac:dyDescent="0.3">
      <c r="A22" s="6">
        <v>431</v>
      </c>
      <c r="B22" s="6">
        <v>10.4</v>
      </c>
      <c r="C22" s="6">
        <v>1</v>
      </c>
      <c r="D22" s="6">
        <v>17.8</v>
      </c>
      <c r="E22" s="6">
        <v>1</v>
      </c>
      <c r="F22" s="6">
        <v>10</v>
      </c>
      <c r="G22" s="6">
        <v>1</v>
      </c>
    </row>
    <row r="23" spans="1:7" x14ac:dyDescent="0.3">
      <c r="A23" s="6">
        <v>432</v>
      </c>
      <c r="B23" s="6">
        <v>10.6</v>
      </c>
      <c r="C23" s="6">
        <v>1</v>
      </c>
      <c r="D23" s="6">
        <v>12.6</v>
      </c>
      <c r="E23" s="6">
        <v>1</v>
      </c>
      <c r="F23" s="6">
        <v>10</v>
      </c>
      <c r="G23" s="6">
        <v>1</v>
      </c>
    </row>
    <row r="24" spans="1:7" x14ac:dyDescent="0.3">
      <c r="A24" s="6">
        <v>461</v>
      </c>
      <c r="B24" s="6">
        <v>11.4</v>
      </c>
      <c r="C24" s="6">
        <v>1</v>
      </c>
      <c r="D24" s="6">
        <v>30.2</v>
      </c>
      <c r="E24" s="6">
        <v>1</v>
      </c>
      <c r="F24" s="6"/>
      <c r="G24" s="6"/>
    </row>
    <row r="25" spans="1:7" x14ac:dyDescent="0.3">
      <c r="A25" s="6">
        <v>462</v>
      </c>
      <c r="B25" s="6">
        <v>11</v>
      </c>
      <c r="C25" s="6">
        <v>1</v>
      </c>
      <c r="D25" s="6">
        <v>28</v>
      </c>
      <c r="E25" s="6">
        <v>1</v>
      </c>
      <c r="F25" s="6"/>
      <c r="G25" s="6"/>
    </row>
    <row r="26" spans="1:7" x14ac:dyDescent="0.3">
      <c r="A26" s="6">
        <v>471</v>
      </c>
      <c r="B26" s="6">
        <v>11.4</v>
      </c>
      <c r="C26" s="6">
        <v>1</v>
      </c>
      <c r="D26" s="6">
        <v>20.6</v>
      </c>
      <c r="E26" s="6">
        <v>1</v>
      </c>
      <c r="F26" s="6">
        <v>10</v>
      </c>
      <c r="G26" s="6">
        <v>1</v>
      </c>
    </row>
    <row r="27" spans="1:7" x14ac:dyDescent="0.3">
      <c r="A27" s="6">
        <v>472</v>
      </c>
      <c r="B27" s="6">
        <v>11.4</v>
      </c>
      <c r="C27" s="6">
        <v>1</v>
      </c>
      <c r="D27" s="6">
        <v>21.8</v>
      </c>
      <c r="E27" s="6">
        <v>1</v>
      </c>
      <c r="F27" s="6">
        <v>10</v>
      </c>
      <c r="G27" s="6">
        <v>1</v>
      </c>
    </row>
    <row r="28" spans="1:7" x14ac:dyDescent="0.3">
      <c r="A28" s="6">
        <v>481</v>
      </c>
      <c r="B28" s="6"/>
      <c r="C28" s="6"/>
      <c r="D28" s="6">
        <v>25.6</v>
      </c>
      <c r="E28" s="6">
        <v>1</v>
      </c>
      <c r="F28" s="6"/>
      <c r="G28" s="6"/>
    </row>
    <row r="29" spans="1:7" x14ac:dyDescent="0.3">
      <c r="A29" s="6">
        <v>482</v>
      </c>
      <c r="B29" s="6"/>
      <c r="C29" s="6"/>
      <c r="D29" s="6">
        <v>17.600000000000001</v>
      </c>
      <c r="E29" s="6">
        <v>1</v>
      </c>
      <c r="F29" s="6"/>
      <c r="G29" s="6"/>
    </row>
    <row r="30" spans="1:7" x14ac:dyDescent="0.3">
      <c r="A30" s="6">
        <v>491</v>
      </c>
      <c r="B30" s="6"/>
      <c r="C30" s="6"/>
      <c r="D30" s="6">
        <v>10</v>
      </c>
      <c r="E30" s="6">
        <v>1</v>
      </c>
      <c r="F30" s="6"/>
      <c r="G30" s="6"/>
    </row>
    <row r="31" spans="1:7" x14ac:dyDescent="0.3">
      <c r="A31" s="6">
        <v>492</v>
      </c>
      <c r="B31" s="6"/>
      <c r="C31" s="6"/>
      <c r="D31" s="6">
        <v>10</v>
      </c>
      <c r="E31" s="6">
        <v>1</v>
      </c>
      <c r="F31" s="6"/>
      <c r="G31" s="6"/>
    </row>
    <row r="32" spans="1:7" x14ac:dyDescent="0.3">
      <c r="A32" s="6">
        <v>501</v>
      </c>
      <c r="B32" s="6"/>
      <c r="C32" s="6"/>
      <c r="D32" s="6">
        <v>10</v>
      </c>
      <c r="E32" s="6">
        <v>1</v>
      </c>
      <c r="F32" s="6">
        <v>13.2</v>
      </c>
      <c r="G32" s="6">
        <v>1</v>
      </c>
    </row>
    <row r="33" spans="1:7" x14ac:dyDescent="0.3">
      <c r="A33" s="6">
        <v>502</v>
      </c>
      <c r="B33" s="6"/>
      <c r="C33" s="6"/>
      <c r="D33" s="6">
        <v>10</v>
      </c>
      <c r="E33" s="6">
        <v>1</v>
      </c>
      <c r="F33" s="6">
        <v>14</v>
      </c>
      <c r="G33" s="6">
        <v>1</v>
      </c>
    </row>
    <row r="34" spans="1:7" x14ac:dyDescent="0.3">
      <c r="A34" s="6">
        <v>511</v>
      </c>
      <c r="B34" s="6">
        <v>14</v>
      </c>
      <c r="C34" s="6">
        <v>1</v>
      </c>
      <c r="D34" s="6">
        <v>21.4</v>
      </c>
      <c r="E34" s="6">
        <v>1</v>
      </c>
      <c r="F34" s="6">
        <v>21.6</v>
      </c>
      <c r="G34" s="6">
        <v>1</v>
      </c>
    </row>
    <row r="35" spans="1:7" x14ac:dyDescent="0.3">
      <c r="A35" s="6">
        <v>512</v>
      </c>
      <c r="B35" s="6">
        <v>28</v>
      </c>
      <c r="C35" s="6">
        <v>1</v>
      </c>
      <c r="D35" s="6">
        <v>21.8</v>
      </c>
      <c r="E35" s="6">
        <v>1</v>
      </c>
      <c r="F35" s="6">
        <v>17.600000000000001</v>
      </c>
      <c r="G35" s="6">
        <v>1</v>
      </c>
    </row>
    <row r="36" spans="1:7" x14ac:dyDescent="0.3">
      <c r="A36" s="6">
        <v>4601</v>
      </c>
      <c r="B36" s="6"/>
      <c r="C36" s="6"/>
      <c r="D36" s="6"/>
      <c r="E36" s="6"/>
      <c r="F36" s="6">
        <v>11.6</v>
      </c>
      <c r="G36" s="6">
        <v>1</v>
      </c>
    </row>
    <row r="37" spans="1:7" x14ac:dyDescent="0.3">
      <c r="A37" s="6">
        <v>4602</v>
      </c>
      <c r="B37" s="6"/>
      <c r="C37" s="6"/>
      <c r="D37" s="6"/>
      <c r="E37" s="6"/>
      <c r="F37" s="6">
        <v>11.6</v>
      </c>
      <c r="G37" s="6">
        <v>1</v>
      </c>
    </row>
    <row r="38" spans="1:7" x14ac:dyDescent="0.3">
      <c r="A38" s="6">
        <v>4801</v>
      </c>
      <c r="B38" s="6">
        <v>29</v>
      </c>
      <c r="C38" s="6">
        <v>1</v>
      </c>
      <c r="D38" s="6"/>
      <c r="E38" s="6"/>
      <c r="F38" s="6">
        <v>10</v>
      </c>
      <c r="G38" s="6">
        <v>1</v>
      </c>
    </row>
    <row r="39" spans="1:7" x14ac:dyDescent="0.3">
      <c r="A39" s="6">
        <v>4802</v>
      </c>
      <c r="B39" s="6">
        <v>30.4</v>
      </c>
      <c r="C39" s="6">
        <v>1</v>
      </c>
      <c r="D39" s="6"/>
      <c r="E39" s="6"/>
      <c r="F39" s="6">
        <v>10</v>
      </c>
      <c r="G39" s="6">
        <v>1</v>
      </c>
    </row>
    <row r="40" spans="1:7" x14ac:dyDescent="0.3">
      <c r="A40" s="6">
        <v>4901</v>
      </c>
      <c r="B40" s="6">
        <v>10.4</v>
      </c>
      <c r="C40" s="6">
        <v>1</v>
      </c>
      <c r="D40" s="6"/>
      <c r="E40" s="6"/>
      <c r="F40" s="6">
        <v>10</v>
      </c>
      <c r="G40" s="6">
        <v>1</v>
      </c>
    </row>
    <row r="41" spans="1:7" x14ac:dyDescent="0.3">
      <c r="A41" s="6">
        <v>4902</v>
      </c>
      <c r="B41" s="6">
        <v>10.8</v>
      </c>
      <c r="C41" s="6">
        <v>1</v>
      </c>
      <c r="D41" s="6"/>
      <c r="E41" s="6"/>
      <c r="F41" s="6">
        <v>10</v>
      </c>
      <c r="G41" s="6">
        <v>1</v>
      </c>
    </row>
    <row r="42" spans="1:7" x14ac:dyDescent="0.3">
      <c r="A42" s="25">
        <v>81</v>
      </c>
      <c r="B42" s="6">
        <v>10.8</v>
      </c>
      <c r="C42" s="6">
        <v>1</v>
      </c>
      <c r="D42" s="6">
        <v>25.8</v>
      </c>
      <c r="E42" s="6">
        <v>1</v>
      </c>
      <c r="F42" s="6">
        <v>23.8</v>
      </c>
      <c r="G42" s="6">
        <v>1</v>
      </c>
    </row>
    <row r="43" spans="1:7" x14ac:dyDescent="0.3">
      <c r="A43" s="11" t="s">
        <v>49</v>
      </c>
      <c r="B43" s="18">
        <v>27.54999999999999</v>
      </c>
      <c r="C43" s="18">
        <v>28</v>
      </c>
      <c r="D43" s="18">
        <v>17.358823529411762</v>
      </c>
      <c r="E43" s="18">
        <v>34</v>
      </c>
      <c r="F43" s="18">
        <v>14.937500000000004</v>
      </c>
      <c r="G43" s="18">
        <v>32</v>
      </c>
    </row>
  </sheetData>
  <conditionalFormatting sqref="B2:B4 D2:D4 F2:F4">
    <cfRule type="cellIs" dxfId="5" priority="1" operator="greaterThan">
      <formula>30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EA22-D3FC-4084-8A8A-661747239F78}">
  <dimension ref="A1:H110"/>
  <sheetViews>
    <sheetView workbookViewId="0">
      <selection activeCell="H2" sqref="H2"/>
    </sheetView>
  </sheetViews>
  <sheetFormatPr defaultRowHeight="14.4" x14ac:dyDescent="0.3"/>
  <cols>
    <col min="1" max="1" width="10.44140625" bestFit="1" customWidth="1"/>
    <col min="4" max="4" width="17.88671875" customWidth="1"/>
  </cols>
  <sheetData>
    <row r="1" spans="1:8" x14ac:dyDescent="0.3">
      <c r="A1" t="s">
        <v>17</v>
      </c>
      <c r="B1" t="s">
        <v>18</v>
      </c>
      <c r="C1" t="s">
        <v>134</v>
      </c>
      <c r="D1" t="s">
        <v>83</v>
      </c>
      <c r="E1" t="s">
        <v>103</v>
      </c>
      <c r="F1" t="s">
        <v>139</v>
      </c>
      <c r="G1" t="s">
        <v>23</v>
      </c>
      <c r="H1" t="s">
        <v>140</v>
      </c>
    </row>
    <row r="2" spans="1:8" ht="15.45" customHeight="1" x14ac:dyDescent="0.3">
      <c r="A2" s="14">
        <v>46036</v>
      </c>
      <c r="B2" s="16" t="s">
        <v>8</v>
      </c>
      <c r="C2" s="16">
        <v>38</v>
      </c>
      <c r="D2" s="16" t="s">
        <v>52</v>
      </c>
      <c r="E2" s="16">
        <v>5</v>
      </c>
      <c r="F2" s="16">
        <v>64.83</v>
      </c>
      <c r="G2" s="16">
        <v>15.48</v>
      </c>
      <c r="H2" s="16">
        <v>71.745999999999995</v>
      </c>
    </row>
    <row r="3" spans="1:8" ht="15.45" customHeight="1" x14ac:dyDescent="0.3">
      <c r="A3" s="14">
        <v>46036</v>
      </c>
      <c r="B3" s="16" t="s">
        <v>70</v>
      </c>
      <c r="C3" s="16">
        <v>20</v>
      </c>
      <c r="D3" s="16" t="s">
        <v>69</v>
      </c>
      <c r="E3" s="16">
        <v>13</v>
      </c>
      <c r="F3" s="16">
        <v>55.76</v>
      </c>
      <c r="G3" s="16">
        <v>14.6</v>
      </c>
      <c r="H3" s="16">
        <v>60.970999999999997</v>
      </c>
    </row>
    <row r="4" spans="1:8" ht="15.45" customHeight="1" x14ac:dyDescent="0.3">
      <c r="A4" s="14">
        <v>46036</v>
      </c>
      <c r="B4" s="16" t="s">
        <v>70</v>
      </c>
      <c r="C4" s="16">
        <v>36</v>
      </c>
      <c r="D4" s="16" t="s">
        <v>72</v>
      </c>
      <c r="E4" s="16">
        <v>13</v>
      </c>
      <c r="F4" s="16">
        <v>56.95</v>
      </c>
      <c r="G4" s="16">
        <v>12.57</v>
      </c>
      <c r="H4" s="16">
        <v>51.741999999999997</v>
      </c>
    </row>
    <row r="5" spans="1:8" ht="15.45" customHeight="1" x14ac:dyDescent="0.3">
      <c r="A5" s="14">
        <v>46036</v>
      </c>
      <c r="B5" s="16" t="s">
        <v>70</v>
      </c>
      <c r="C5" s="16">
        <v>36</v>
      </c>
      <c r="D5" s="16" t="s">
        <v>72</v>
      </c>
      <c r="E5" s="16">
        <v>13</v>
      </c>
      <c r="F5" s="16">
        <v>57.41</v>
      </c>
      <c r="G5" s="16">
        <v>12.76</v>
      </c>
      <c r="H5" s="16">
        <v>53.39</v>
      </c>
    </row>
    <row r="6" spans="1:8" ht="15.45" customHeight="1" x14ac:dyDescent="0.3">
      <c r="A6" s="14">
        <v>46036</v>
      </c>
      <c r="B6" s="16" t="s">
        <v>66</v>
      </c>
      <c r="C6" s="16">
        <v>24</v>
      </c>
      <c r="D6" s="16" t="s">
        <v>56</v>
      </c>
      <c r="E6" s="16">
        <v>20</v>
      </c>
      <c r="F6" s="16">
        <v>68.069999999999993</v>
      </c>
      <c r="G6" s="16">
        <v>15.5</v>
      </c>
      <c r="H6" s="16">
        <v>74.402000000000001</v>
      </c>
    </row>
    <row r="7" spans="1:8" ht="15.45" customHeight="1" x14ac:dyDescent="0.3">
      <c r="A7" s="14">
        <v>46036</v>
      </c>
      <c r="B7" s="16" t="s">
        <v>70</v>
      </c>
      <c r="C7" s="16">
        <v>34</v>
      </c>
      <c r="D7" s="16" t="s">
        <v>78</v>
      </c>
      <c r="E7" s="16">
        <v>7</v>
      </c>
      <c r="F7" s="16">
        <v>72.17</v>
      </c>
      <c r="G7" s="16">
        <v>13.77</v>
      </c>
      <c r="H7" s="16">
        <v>73.037999999999997</v>
      </c>
    </row>
    <row r="8" spans="1:8" ht="15.45" customHeight="1" x14ac:dyDescent="0.3">
      <c r="A8" s="14">
        <v>46036</v>
      </c>
      <c r="B8" s="16" t="s">
        <v>8</v>
      </c>
      <c r="C8" s="16">
        <v>34</v>
      </c>
      <c r="D8" s="16" t="s">
        <v>78</v>
      </c>
      <c r="E8" s="16">
        <v>7</v>
      </c>
      <c r="F8" s="16">
        <v>68.81</v>
      </c>
      <c r="G8" s="16">
        <v>15.41</v>
      </c>
      <c r="H8" s="16">
        <v>74.760999999999996</v>
      </c>
    </row>
    <row r="9" spans="1:8" ht="15.45" customHeight="1" x14ac:dyDescent="0.3">
      <c r="A9" s="14">
        <v>46036</v>
      </c>
      <c r="B9" s="16" t="s">
        <v>70</v>
      </c>
      <c r="C9" s="16">
        <v>34</v>
      </c>
      <c r="D9" s="16" t="s">
        <v>78</v>
      </c>
      <c r="E9" s="16">
        <v>7</v>
      </c>
      <c r="F9" s="16">
        <v>72.540000000000006</v>
      </c>
      <c r="G9" s="16">
        <v>13.94</v>
      </c>
      <c r="H9" s="16">
        <v>73.914000000000001</v>
      </c>
    </row>
    <row r="10" spans="1:8" ht="15.45" customHeight="1" x14ac:dyDescent="0.3">
      <c r="A10" s="14">
        <v>46036</v>
      </c>
      <c r="B10" s="16" t="s">
        <v>8</v>
      </c>
      <c r="C10" s="16">
        <v>34</v>
      </c>
      <c r="D10" s="16" t="s">
        <v>78</v>
      </c>
      <c r="E10" s="16">
        <v>7</v>
      </c>
      <c r="F10" s="16">
        <v>69.25</v>
      </c>
      <c r="G10" s="16">
        <v>15.36</v>
      </c>
      <c r="H10" s="16">
        <v>74.988</v>
      </c>
    </row>
    <row r="11" spans="1:8" ht="15.45" customHeight="1" x14ac:dyDescent="0.3">
      <c r="A11" s="14">
        <v>46036</v>
      </c>
      <c r="B11" s="16" t="s">
        <v>66</v>
      </c>
      <c r="C11" s="16">
        <v>25</v>
      </c>
      <c r="D11" s="16" t="s">
        <v>58</v>
      </c>
      <c r="E11" s="16">
        <v>2</v>
      </c>
      <c r="F11" s="16">
        <v>73.23</v>
      </c>
      <c r="G11" s="16">
        <v>15.05</v>
      </c>
      <c r="H11" s="16">
        <v>77.503</v>
      </c>
    </row>
    <row r="12" spans="1:8" ht="15.45" customHeight="1" x14ac:dyDescent="0.3">
      <c r="A12" s="14">
        <v>46036</v>
      </c>
      <c r="B12" s="16" t="s">
        <v>70</v>
      </c>
      <c r="C12" s="16">
        <v>27</v>
      </c>
      <c r="D12" s="16" t="s">
        <v>60</v>
      </c>
      <c r="E12" s="16">
        <v>1</v>
      </c>
      <c r="F12" s="16">
        <v>70.040000000000006</v>
      </c>
      <c r="G12" s="16">
        <v>14.25</v>
      </c>
      <c r="H12" s="16">
        <v>72.522999999999996</v>
      </c>
    </row>
    <row r="13" spans="1:8" ht="15.45" customHeight="1" x14ac:dyDescent="0.3">
      <c r="A13" s="14">
        <v>46036</v>
      </c>
      <c r="B13" s="16" t="s">
        <v>66</v>
      </c>
      <c r="C13" s="16">
        <v>27</v>
      </c>
      <c r="D13" s="16" t="s">
        <v>60</v>
      </c>
      <c r="E13" s="16">
        <v>1</v>
      </c>
      <c r="F13" s="16">
        <v>67.95</v>
      </c>
      <c r="G13" s="16">
        <v>14.82</v>
      </c>
      <c r="H13" s="16">
        <v>72.394000000000005</v>
      </c>
    </row>
    <row r="14" spans="1:8" ht="15.45" customHeight="1" x14ac:dyDescent="0.3">
      <c r="A14" s="14">
        <v>46036</v>
      </c>
      <c r="B14" s="16" t="s">
        <v>8</v>
      </c>
      <c r="C14" s="16">
        <v>27</v>
      </c>
      <c r="D14" s="16" t="s">
        <v>60</v>
      </c>
      <c r="E14" s="16">
        <v>1</v>
      </c>
      <c r="F14" s="16">
        <v>70.69</v>
      </c>
      <c r="G14" s="16">
        <v>14.62</v>
      </c>
      <c r="H14" s="16">
        <v>74.198999999999998</v>
      </c>
    </row>
    <row r="15" spans="1:8" ht="15.45" customHeight="1" x14ac:dyDescent="0.3">
      <c r="A15" s="14">
        <v>46036</v>
      </c>
      <c r="B15" s="16" t="s">
        <v>70</v>
      </c>
      <c r="C15" s="16">
        <v>27</v>
      </c>
      <c r="D15" s="16" t="s">
        <v>60</v>
      </c>
      <c r="E15" s="16">
        <v>2</v>
      </c>
      <c r="F15" s="16">
        <v>69.930000000000007</v>
      </c>
      <c r="G15" s="16">
        <v>14.15</v>
      </c>
      <c r="H15" s="16">
        <v>72.108999999999995</v>
      </c>
    </row>
    <row r="16" spans="1:8" ht="15.45" customHeight="1" x14ac:dyDescent="0.3">
      <c r="A16" s="14">
        <v>46036</v>
      </c>
      <c r="B16" s="16" t="s">
        <v>8</v>
      </c>
      <c r="C16" s="16">
        <v>27</v>
      </c>
      <c r="D16" s="16" t="s">
        <v>60</v>
      </c>
      <c r="E16" s="16">
        <v>1</v>
      </c>
      <c r="F16" s="16">
        <v>71.3</v>
      </c>
      <c r="G16" s="16">
        <v>14.83</v>
      </c>
      <c r="H16" s="16">
        <v>75.305999999999997</v>
      </c>
    </row>
    <row r="17" spans="1:8" ht="15.45" customHeight="1" x14ac:dyDescent="0.3">
      <c r="A17" s="14">
        <v>46036</v>
      </c>
      <c r="B17" s="16" t="s">
        <v>70</v>
      </c>
      <c r="C17" s="16">
        <v>31</v>
      </c>
      <c r="D17" s="16" t="s">
        <v>101</v>
      </c>
      <c r="E17" s="16">
        <v>20</v>
      </c>
      <c r="F17" s="16">
        <v>80.22</v>
      </c>
      <c r="G17" s="16">
        <v>12.5</v>
      </c>
      <c r="H17" s="16">
        <v>77.628</v>
      </c>
    </row>
    <row r="18" spans="1:8" ht="15.45" customHeight="1" x14ac:dyDescent="0.3">
      <c r="A18" s="14">
        <v>46036</v>
      </c>
      <c r="B18" s="16" t="s">
        <v>66</v>
      </c>
      <c r="C18" s="16">
        <v>31</v>
      </c>
      <c r="D18" s="16" t="s">
        <v>102</v>
      </c>
      <c r="E18" s="16">
        <v>20</v>
      </c>
      <c r="F18" s="16">
        <v>78.92</v>
      </c>
      <c r="G18" s="16">
        <v>12.5</v>
      </c>
      <c r="H18" s="16">
        <v>76.158000000000001</v>
      </c>
    </row>
    <row r="19" spans="1:8" ht="15.45" customHeight="1" x14ac:dyDescent="0.3">
      <c r="A19" s="14">
        <v>46036</v>
      </c>
      <c r="B19" s="16" t="s">
        <v>8</v>
      </c>
      <c r="C19" s="16">
        <v>10</v>
      </c>
      <c r="D19" s="16" t="s">
        <v>54</v>
      </c>
      <c r="E19" s="16">
        <v>1</v>
      </c>
      <c r="F19" s="16">
        <v>70.290000000000006</v>
      </c>
      <c r="G19" s="16">
        <v>14.97</v>
      </c>
      <c r="H19" s="16">
        <v>74.817999999999998</v>
      </c>
    </row>
    <row r="20" spans="1:8" ht="15.45" customHeight="1" x14ac:dyDescent="0.3">
      <c r="A20" s="14">
        <v>46036</v>
      </c>
      <c r="B20" s="16" t="s">
        <v>8</v>
      </c>
      <c r="C20" s="16">
        <v>10</v>
      </c>
      <c r="D20" s="16" t="s">
        <v>54</v>
      </c>
      <c r="E20" s="16">
        <v>1</v>
      </c>
      <c r="F20" s="16">
        <v>69.94</v>
      </c>
      <c r="G20" s="16">
        <v>14.41</v>
      </c>
      <c r="H20" s="16">
        <v>72.918999999999997</v>
      </c>
    </row>
    <row r="21" spans="1:8" ht="15.45" customHeight="1" x14ac:dyDescent="0.3">
      <c r="A21" s="14">
        <v>46036</v>
      </c>
      <c r="B21" s="16" t="s">
        <v>70</v>
      </c>
      <c r="C21" s="16">
        <v>11</v>
      </c>
      <c r="D21" s="16" t="s">
        <v>50</v>
      </c>
      <c r="E21" s="16">
        <v>13</v>
      </c>
      <c r="F21" s="16">
        <v>57.73</v>
      </c>
      <c r="G21" s="16">
        <v>13.69</v>
      </c>
      <c r="H21" s="16">
        <v>58.664999999999999</v>
      </c>
    </row>
    <row r="22" spans="1:8" ht="15.45" customHeight="1" x14ac:dyDescent="0.3">
      <c r="A22" s="14">
        <v>46036</v>
      </c>
      <c r="B22" s="16" t="s">
        <v>66</v>
      </c>
      <c r="C22" s="16">
        <v>26</v>
      </c>
      <c r="D22" s="16" t="s">
        <v>50</v>
      </c>
      <c r="E22" s="16">
        <v>12</v>
      </c>
      <c r="F22" s="16">
        <v>50.08</v>
      </c>
      <c r="G22" s="16">
        <v>15.53</v>
      </c>
      <c r="H22" s="16">
        <v>60.103999999999999</v>
      </c>
    </row>
    <row r="23" spans="1:8" ht="15.45" customHeight="1" x14ac:dyDescent="0.3">
      <c r="A23" s="14">
        <v>46036</v>
      </c>
      <c r="B23" s="16" t="s">
        <v>66</v>
      </c>
      <c r="C23" s="16">
        <v>9</v>
      </c>
      <c r="D23" s="16" t="s">
        <v>50</v>
      </c>
      <c r="E23" s="16">
        <v>12</v>
      </c>
      <c r="F23" s="16">
        <v>48.49</v>
      </c>
      <c r="G23" s="16">
        <v>15.52</v>
      </c>
      <c r="H23" s="16">
        <v>58.79</v>
      </c>
    </row>
    <row r="24" spans="1:8" ht="15.45" customHeight="1" x14ac:dyDescent="0.3">
      <c r="A24" s="14">
        <v>46036</v>
      </c>
      <c r="B24" s="16" t="s">
        <v>66</v>
      </c>
      <c r="C24" s="16">
        <v>11</v>
      </c>
      <c r="D24" s="16" t="s">
        <v>50</v>
      </c>
      <c r="E24" s="16">
        <v>12</v>
      </c>
      <c r="F24" s="16">
        <v>49.84</v>
      </c>
      <c r="G24" s="16">
        <v>15.12</v>
      </c>
      <c r="H24" s="16">
        <v>58.158000000000001</v>
      </c>
    </row>
    <row r="25" spans="1:8" ht="15.45" customHeight="1" x14ac:dyDescent="0.3">
      <c r="A25" s="14">
        <v>46036</v>
      </c>
      <c r="B25" s="16" t="s">
        <v>8</v>
      </c>
      <c r="C25" s="16">
        <v>11</v>
      </c>
      <c r="D25" s="16" t="s">
        <v>50</v>
      </c>
      <c r="E25" s="16">
        <v>12</v>
      </c>
      <c r="F25" s="16">
        <v>54.6</v>
      </c>
      <c r="G25" s="16">
        <v>15.39</v>
      </c>
      <c r="H25" s="16">
        <v>63.186</v>
      </c>
    </row>
    <row r="26" spans="1:8" ht="15.45" customHeight="1" x14ac:dyDescent="0.3">
      <c r="A26" s="14">
        <v>46036</v>
      </c>
      <c r="B26" s="16" t="s">
        <v>70</v>
      </c>
      <c r="C26" s="16">
        <v>11</v>
      </c>
      <c r="D26" s="16" t="s">
        <v>50</v>
      </c>
      <c r="E26" s="16">
        <v>14</v>
      </c>
      <c r="F26" s="16">
        <v>58.86</v>
      </c>
      <c r="G26" s="16">
        <v>13.4</v>
      </c>
      <c r="H26" s="16">
        <v>58.368000000000002</v>
      </c>
    </row>
    <row r="27" spans="1:8" ht="15.45" customHeight="1" x14ac:dyDescent="0.3">
      <c r="A27" s="14">
        <v>46036</v>
      </c>
      <c r="B27" s="16" t="s">
        <v>8</v>
      </c>
      <c r="C27" s="16">
        <v>11</v>
      </c>
      <c r="D27" s="16" t="s">
        <v>50</v>
      </c>
      <c r="E27" s="16">
        <v>12</v>
      </c>
      <c r="F27" s="16">
        <v>55.52</v>
      </c>
      <c r="G27" s="16">
        <v>14.65</v>
      </c>
      <c r="H27" s="16">
        <v>60.973999999999997</v>
      </c>
    </row>
    <row r="28" spans="1:8" ht="15.45" customHeight="1" x14ac:dyDescent="0.3">
      <c r="A28" s="14">
        <v>46036</v>
      </c>
      <c r="B28" s="16" t="s">
        <v>8</v>
      </c>
      <c r="C28" s="16">
        <v>9</v>
      </c>
      <c r="D28" s="16" t="s">
        <v>50</v>
      </c>
      <c r="E28" s="16">
        <v>12</v>
      </c>
      <c r="F28" s="16">
        <v>52.92</v>
      </c>
      <c r="G28" s="16">
        <v>14.58</v>
      </c>
      <c r="H28" s="16">
        <v>58.375</v>
      </c>
    </row>
    <row r="29" spans="1:8" ht="15.45" customHeight="1" x14ac:dyDescent="0.3">
      <c r="A29" s="14">
        <v>46036</v>
      </c>
      <c r="B29" s="16" t="s">
        <v>70</v>
      </c>
      <c r="C29" s="16">
        <v>33</v>
      </c>
      <c r="D29" s="16" t="s">
        <v>64</v>
      </c>
      <c r="E29" s="16">
        <v>7</v>
      </c>
      <c r="F29" s="16">
        <v>71.11</v>
      </c>
      <c r="G29" s="16">
        <v>14.75</v>
      </c>
      <c r="H29" s="16">
        <v>74.927000000000007</v>
      </c>
    </row>
    <row r="30" spans="1:8" ht="15.45" customHeight="1" x14ac:dyDescent="0.3">
      <c r="A30" s="14">
        <v>46036</v>
      </c>
      <c r="B30" s="16" t="s">
        <v>66</v>
      </c>
      <c r="C30" s="16">
        <v>33</v>
      </c>
      <c r="D30" s="16" t="s">
        <v>64</v>
      </c>
      <c r="E30" s="16">
        <v>7</v>
      </c>
      <c r="F30" s="16">
        <v>66.91</v>
      </c>
      <c r="G30" s="16">
        <v>15.5</v>
      </c>
      <c r="H30" s="16">
        <v>73.471999999999994</v>
      </c>
    </row>
    <row r="31" spans="1:8" ht="15.45" customHeight="1" x14ac:dyDescent="0.3">
      <c r="A31" s="14">
        <v>46036</v>
      </c>
      <c r="B31" s="16" t="s">
        <v>8</v>
      </c>
      <c r="C31" s="16">
        <v>33</v>
      </c>
      <c r="D31" s="16" t="s">
        <v>64</v>
      </c>
      <c r="E31" s="16">
        <v>7</v>
      </c>
      <c r="F31" s="16">
        <v>71.319999999999993</v>
      </c>
      <c r="G31" s="16">
        <v>15.48</v>
      </c>
      <c r="H31" s="16">
        <v>76.959999999999994</v>
      </c>
    </row>
    <row r="32" spans="1:8" ht="15.45" customHeight="1" x14ac:dyDescent="0.3">
      <c r="A32" s="14">
        <v>46036</v>
      </c>
      <c r="B32" s="16" t="s">
        <v>8</v>
      </c>
      <c r="C32" s="16">
        <v>33</v>
      </c>
      <c r="D32" s="16" t="s">
        <v>64</v>
      </c>
      <c r="E32" s="16">
        <v>7</v>
      </c>
      <c r="F32" s="16">
        <v>69.290000000000006</v>
      </c>
      <c r="G32" s="16">
        <v>15.49</v>
      </c>
      <c r="H32" s="16">
        <v>75.355000000000004</v>
      </c>
    </row>
    <row r="33" spans="1:8" ht="15.45" customHeight="1" x14ac:dyDescent="0.3">
      <c r="A33" s="14">
        <v>46036</v>
      </c>
      <c r="B33" s="16" t="s">
        <v>8</v>
      </c>
      <c r="C33" s="16">
        <v>35</v>
      </c>
      <c r="D33" s="16" t="s">
        <v>62</v>
      </c>
      <c r="E33" s="16">
        <v>12</v>
      </c>
      <c r="F33" s="16">
        <v>70.61</v>
      </c>
      <c r="G33" s="16">
        <v>13.86</v>
      </c>
      <c r="H33" s="16">
        <v>71.822000000000003</v>
      </c>
    </row>
    <row r="34" spans="1:8" ht="15.45" customHeight="1" x14ac:dyDescent="0.3">
      <c r="A34" s="14">
        <v>46036</v>
      </c>
      <c r="B34" s="16" t="s">
        <v>8</v>
      </c>
      <c r="C34" s="16">
        <v>35</v>
      </c>
      <c r="D34" s="16" t="s">
        <v>62</v>
      </c>
      <c r="E34" s="16">
        <v>12</v>
      </c>
      <c r="F34" s="16">
        <v>69.48</v>
      </c>
      <c r="G34" s="16">
        <v>13.86</v>
      </c>
      <c r="H34" s="16">
        <v>70.738</v>
      </c>
    </row>
    <row r="35" spans="1:8" ht="15.45" customHeight="1" x14ac:dyDescent="0.3">
      <c r="A35" s="14">
        <v>46036</v>
      </c>
      <c r="B35" s="16" t="s">
        <v>70</v>
      </c>
      <c r="C35" s="16">
        <v>38</v>
      </c>
      <c r="D35" s="16" t="s">
        <v>52</v>
      </c>
      <c r="E35" s="16">
        <v>5</v>
      </c>
      <c r="F35" s="16">
        <v>68.69</v>
      </c>
      <c r="G35" s="16">
        <v>14.98</v>
      </c>
      <c r="H35" s="16">
        <v>73.491</v>
      </c>
    </row>
    <row r="36" spans="1:8" ht="15.45" customHeight="1" x14ac:dyDescent="0.3">
      <c r="A36" s="14">
        <v>46036</v>
      </c>
      <c r="B36" s="16" t="s">
        <v>8</v>
      </c>
      <c r="C36" s="16">
        <v>38</v>
      </c>
      <c r="D36" s="16" t="s">
        <v>52</v>
      </c>
      <c r="E36" s="16">
        <v>5</v>
      </c>
      <c r="F36" s="16">
        <v>65.2</v>
      </c>
      <c r="G36" s="16">
        <v>15.08</v>
      </c>
      <c r="H36" s="16">
        <v>70.847999999999999</v>
      </c>
    </row>
    <row r="37" spans="1:8" ht="15.45" customHeight="1" x14ac:dyDescent="0.3">
      <c r="A37" s="14">
        <v>46036</v>
      </c>
      <c r="B37" s="16" t="s">
        <v>70</v>
      </c>
      <c r="C37" s="16">
        <v>38</v>
      </c>
      <c r="D37" s="16" t="s">
        <v>52</v>
      </c>
      <c r="E37" s="16">
        <v>5</v>
      </c>
      <c r="F37" s="16">
        <v>69.22</v>
      </c>
      <c r="G37" s="16">
        <v>14.55</v>
      </c>
      <c r="H37" s="16">
        <v>72.695999999999998</v>
      </c>
    </row>
    <row r="38" spans="1:8" ht="15.45" customHeight="1" x14ac:dyDescent="0.3">
      <c r="A38" s="14">
        <v>46036</v>
      </c>
      <c r="B38" s="16" t="s">
        <v>70</v>
      </c>
      <c r="C38" s="16">
        <v>20</v>
      </c>
      <c r="D38" s="16" t="s">
        <v>69</v>
      </c>
      <c r="E38" s="16">
        <v>13</v>
      </c>
      <c r="F38" s="16">
        <v>53.41</v>
      </c>
      <c r="G38" s="16">
        <v>15.29</v>
      </c>
      <c r="H38" s="16">
        <v>61.825000000000003</v>
      </c>
    </row>
    <row r="39" spans="1:8" ht="15.45" customHeight="1" x14ac:dyDescent="0.3">
      <c r="A39" s="14">
        <v>46038</v>
      </c>
      <c r="B39" s="16" t="s">
        <v>8</v>
      </c>
      <c r="C39" s="16">
        <v>20</v>
      </c>
      <c r="D39" s="16" t="s">
        <v>69</v>
      </c>
      <c r="E39" s="16">
        <v>14</v>
      </c>
      <c r="F39" s="16">
        <v>54.76</v>
      </c>
      <c r="G39" s="16">
        <v>13.73</v>
      </c>
      <c r="H39" s="16">
        <v>55.966000000000001</v>
      </c>
    </row>
    <row r="40" spans="1:8" ht="15.45" customHeight="1" x14ac:dyDescent="0.3">
      <c r="A40" s="14">
        <v>46038</v>
      </c>
      <c r="B40" s="16" t="s">
        <v>70</v>
      </c>
      <c r="C40" s="16">
        <v>20</v>
      </c>
      <c r="D40" s="16" t="s">
        <v>69</v>
      </c>
      <c r="E40" s="16">
        <v>15</v>
      </c>
      <c r="F40" s="16">
        <v>55.45</v>
      </c>
      <c r="G40" s="16">
        <v>13.04</v>
      </c>
      <c r="H40" s="16">
        <v>52.908999999999999</v>
      </c>
    </row>
    <row r="41" spans="1:8" ht="15.45" customHeight="1" x14ac:dyDescent="0.3">
      <c r="A41" s="14">
        <v>46038</v>
      </c>
      <c r="B41" s="16" t="s">
        <v>8</v>
      </c>
      <c r="C41" s="16">
        <v>20</v>
      </c>
      <c r="D41" s="16" t="s">
        <v>69</v>
      </c>
      <c r="E41" s="16">
        <v>14</v>
      </c>
      <c r="F41" s="16">
        <v>55.19</v>
      </c>
      <c r="G41" s="16">
        <v>13.89</v>
      </c>
      <c r="H41" s="16">
        <v>57.186</v>
      </c>
    </row>
    <row r="42" spans="1:8" ht="15.45" customHeight="1" x14ac:dyDescent="0.3">
      <c r="A42" s="14">
        <v>46038</v>
      </c>
      <c r="B42" s="16" t="s">
        <v>66</v>
      </c>
      <c r="C42" s="16">
        <v>20</v>
      </c>
      <c r="D42" s="16" t="s">
        <v>69</v>
      </c>
      <c r="E42" s="16">
        <v>14</v>
      </c>
      <c r="F42" s="16">
        <v>54.6</v>
      </c>
      <c r="G42" s="16">
        <v>14.6</v>
      </c>
      <c r="H42" s="16">
        <v>59.948</v>
      </c>
    </row>
    <row r="43" spans="1:8" ht="15.45" customHeight="1" x14ac:dyDescent="0.3">
      <c r="A43" s="14">
        <v>46038</v>
      </c>
      <c r="B43" s="16" t="s">
        <v>66</v>
      </c>
      <c r="C43" s="16">
        <v>20</v>
      </c>
      <c r="D43" s="16" t="s">
        <v>69</v>
      </c>
      <c r="E43" s="16">
        <v>14</v>
      </c>
      <c r="F43" s="16">
        <v>54.43</v>
      </c>
      <c r="G43" s="16">
        <v>14.37</v>
      </c>
      <c r="H43" s="16">
        <v>58.762999999999998</v>
      </c>
    </row>
    <row r="44" spans="1:8" ht="15.45" customHeight="1" x14ac:dyDescent="0.3">
      <c r="A44" s="14">
        <v>46038</v>
      </c>
      <c r="B44" s="16" t="s">
        <v>70</v>
      </c>
      <c r="C44" s="16">
        <v>20</v>
      </c>
      <c r="D44" s="16" t="s">
        <v>69</v>
      </c>
      <c r="E44" s="16">
        <v>15</v>
      </c>
      <c r="F44" s="16">
        <v>56.74</v>
      </c>
      <c r="G44" s="16">
        <v>13.36</v>
      </c>
      <c r="H44" s="16">
        <v>56.012</v>
      </c>
    </row>
    <row r="45" spans="1:8" ht="15.45" customHeight="1" x14ac:dyDescent="0.3">
      <c r="A45" s="14">
        <v>46038</v>
      </c>
      <c r="B45" s="16" t="s">
        <v>8</v>
      </c>
      <c r="C45" s="16">
        <v>36</v>
      </c>
      <c r="D45" s="16" t="s">
        <v>72</v>
      </c>
      <c r="E45" s="16">
        <v>14</v>
      </c>
      <c r="F45" s="16">
        <v>54.62</v>
      </c>
      <c r="G45" s="16">
        <v>14.35</v>
      </c>
      <c r="H45" s="16">
        <v>58.844000000000001</v>
      </c>
    </row>
    <row r="46" spans="1:8" ht="15.45" customHeight="1" x14ac:dyDescent="0.3">
      <c r="A46" s="14">
        <v>46038</v>
      </c>
      <c r="B46" s="16" t="s">
        <v>70</v>
      </c>
      <c r="C46" s="16">
        <v>36</v>
      </c>
      <c r="D46" s="16" t="s">
        <v>72</v>
      </c>
      <c r="E46" s="16">
        <v>15</v>
      </c>
      <c r="F46" s="16">
        <v>56.55</v>
      </c>
      <c r="G46" s="16">
        <v>12.83</v>
      </c>
      <c r="H46" s="16">
        <v>52.863</v>
      </c>
    </row>
    <row r="47" spans="1:8" ht="15.45" customHeight="1" x14ac:dyDescent="0.3">
      <c r="A47" s="14">
        <v>46038</v>
      </c>
      <c r="B47" s="16" t="s">
        <v>8</v>
      </c>
      <c r="C47" s="16">
        <v>36</v>
      </c>
      <c r="D47" s="16" t="s">
        <v>72</v>
      </c>
      <c r="E47" s="16">
        <v>14</v>
      </c>
      <c r="F47" s="16">
        <v>53.25</v>
      </c>
      <c r="G47" s="16">
        <v>13.58</v>
      </c>
      <c r="H47" s="16">
        <v>53.69</v>
      </c>
    </row>
    <row r="48" spans="1:8" ht="15.45" customHeight="1" x14ac:dyDescent="0.3">
      <c r="A48" s="14">
        <v>46038</v>
      </c>
      <c r="B48" s="16" t="s">
        <v>66</v>
      </c>
      <c r="C48" s="16">
        <v>36</v>
      </c>
      <c r="D48" s="16" t="s">
        <v>72</v>
      </c>
      <c r="E48" s="16">
        <v>14</v>
      </c>
      <c r="F48" s="16">
        <v>50.98</v>
      </c>
      <c r="G48" s="16">
        <v>14.84</v>
      </c>
      <c r="H48" s="16">
        <v>57.868000000000002</v>
      </c>
    </row>
    <row r="49" spans="1:8" ht="15.45" customHeight="1" x14ac:dyDescent="0.3">
      <c r="A49" s="14">
        <v>46038</v>
      </c>
      <c r="B49" s="16" t="s">
        <v>66</v>
      </c>
      <c r="C49" s="16">
        <v>36</v>
      </c>
      <c r="D49" s="16" t="s">
        <v>72</v>
      </c>
      <c r="E49" s="16">
        <v>14</v>
      </c>
      <c r="F49" s="16">
        <v>54.43</v>
      </c>
      <c r="G49" s="16">
        <v>14.37</v>
      </c>
      <c r="H49" s="16">
        <v>58.762999999999998</v>
      </c>
    </row>
    <row r="50" spans="1:8" ht="15.45" customHeight="1" x14ac:dyDescent="0.3">
      <c r="A50" s="14">
        <v>46038</v>
      </c>
      <c r="B50" s="16" t="s">
        <v>70</v>
      </c>
      <c r="C50" s="16">
        <v>36</v>
      </c>
      <c r="D50" s="16" t="s">
        <v>72</v>
      </c>
      <c r="E50" s="16">
        <v>15</v>
      </c>
      <c r="F50" s="16">
        <v>57.49</v>
      </c>
      <c r="G50" s="16">
        <v>13.14</v>
      </c>
      <c r="H50" s="16">
        <v>55.610999999999997</v>
      </c>
    </row>
    <row r="51" spans="1:8" ht="15.45" customHeight="1" x14ac:dyDescent="0.3">
      <c r="A51" s="14">
        <v>46038</v>
      </c>
      <c r="B51" s="16" t="s">
        <v>70</v>
      </c>
      <c r="C51" s="16">
        <v>24</v>
      </c>
      <c r="D51" s="16" t="s">
        <v>56</v>
      </c>
      <c r="E51" s="16">
        <v>24</v>
      </c>
      <c r="F51" s="16">
        <v>69.33</v>
      </c>
      <c r="G51" s="16">
        <v>13.89</v>
      </c>
      <c r="H51" s="16">
        <v>70.695999999999998</v>
      </c>
    </row>
    <row r="52" spans="1:8" ht="15.45" customHeight="1" x14ac:dyDescent="0.3">
      <c r="A52" s="14">
        <v>46038</v>
      </c>
      <c r="B52" s="16" t="s">
        <v>70</v>
      </c>
      <c r="C52" s="16">
        <v>28</v>
      </c>
      <c r="D52" s="16" t="s">
        <v>56</v>
      </c>
      <c r="E52" s="16">
        <v>24</v>
      </c>
      <c r="F52" s="16">
        <v>72.47</v>
      </c>
      <c r="G52" s="16">
        <v>14.73</v>
      </c>
      <c r="H52" s="16">
        <v>76.055000000000007</v>
      </c>
    </row>
    <row r="53" spans="1:8" ht="15.45" customHeight="1" x14ac:dyDescent="0.3">
      <c r="A53" s="14">
        <v>46038</v>
      </c>
      <c r="B53" s="16" t="s">
        <v>66</v>
      </c>
      <c r="C53" s="16">
        <v>28</v>
      </c>
      <c r="D53" s="16" t="s">
        <v>56</v>
      </c>
      <c r="E53" s="16">
        <v>22</v>
      </c>
      <c r="F53" s="16">
        <v>69.91</v>
      </c>
      <c r="G53" s="16">
        <v>15.5</v>
      </c>
      <c r="H53" s="16">
        <v>75.876999999999995</v>
      </c>
    </row>
    <row r="54" spans="1:8" ht="15.45" customHeight="1" x14ac:dyDescent="0.3">
      <c r="A54" s="14">
        <v>46038</v>
      </c>
      <c r="B54" s="16" t="s">
        <v>66</v>
      </c>
      <c r="C54" s="16">
        <v>24</v>
      </c>
      <c r="D54" s="16" t="s">
        <v>56</v>
      </c>
      <c r="E54" s="16">
        <v>22</v>
      </c>
      <c r="F54" s="16">
        <v>68.45</v>
      </c>
      <c r="G54" s="16">
        <v>15.5</v>
      </c>
      <c r="H54" s="16">
        <v>74.706999999999994</v>
      </c>
    </row>
    <row r="55" spans="1:8" ht="15.45" customHeight="1" x14ac:dyDescent="0.3">
      <c r="A55" s="14">
        <v>46038</v>
      </c>
      <c r="B55" s="16" t="s">
        <v>66</v>
      </c>
      <c r="C55" s="16">
        <v>28</v>
      </c>
      <c r="D55" s="16" t="s">
        <v>56</v>
      </c>
      <c r="E55" s="16">
        <v>22</v>
      </c>
      <c r="F55" s="16">
        <v>69.64</v>
      </c>
      <c r="G55" s="16">
        <v>15.24</v>
      </c>
      <c r="H55" s="16">
        <v>74.992999999999995</v>
      </c>
    </row>
    <row r="56" spans="1:8" ht="15.45" customHeight="1" x14ac:dyDescent="0.3">
      <c r="A56" s="14">
        <v>46038</v>
      </c>
      <c r="B56" s="16" t="s">
        <v>70</v>
      </c>
      <c r="C56" s="16">
        <v>24</v>
      </c>
      <c r="D56" s="16" t="s">
        <v>56</v>
      </c>
      <c r="E56" s="16">
        <v>24</v>
      </c>
      <c r="F56" s="16">
        <v>70.89</v>
      </c>
      <c r="G56" s="16">
        <v>14.53</v>
      </c>
      <c r="H56" s="16">
        <v>74.120999999999995</v>
      </c>
    </row>
    <row r="57" spans="1:8" ht="15.45" customHeight="1" x14ac:dyDescent="0.3">
      <c r="A57" s="14">
        <v>46038</v>
      </c>
      <c r="B57" s="16" t="s">
        <v>70</v>
      </c>
      <c r="C57" s="16">
        <v>28</v>
      </c>
      <c r="D57" s="16" t="s">
        <v>56</v>
      </c>
      <c r="E57" s="16">
        <v>24</v>
      </c>
      <c r="F57" s="16">
        <v>71.989999999999995</v>
      </c>
      <c r="G57" s="16">
        <v>14.44</v>
      </c>
      <c r="H57" s="16">
        <v>74.849999999999994</v>
      </c>
    </row>
    <row r="58" spans="1:8" ht="15.45" customHeight="1" x14ac:dyDescent="0.3">
      <c r="A58" s="14">
        <v>46038</v>
      </c>
      <c r="B58" s="16" t="s">
        <v>70</v>
      </c>
      <c r="C58" s="16">
        <v>34</v>
      </c>
      <c r="D58" s="16" t="s">
        <v>78</v>
      </c>
      <c r="E58" s="16">
        <v>8</v>
      </c>
      <c r="F58" s="16">
        <v>70.12</v>
      </c>
      <c r="G58" s="16">
        <v>14.46</v>
      </c>
      <c r="H58" s="16">
        <v>73.23</v>
      </c>
    </row>
    <row r="59" spans="1:8" ht="15.45" customHeight="1" x14ac:dyDescent="0.3">
      <c r="A59" s="14">
        <v>46038</v>
      </c>
      <c r="B59" s="16" t="s">
        <v>70</v>
      </c>
      <c r="C59" s="16">
        <v>34</v>
      </c>
      <c r="D59" s="16" t="s">
        <v>78</v>
      </c>
      <c r="E59" s="16">
        <v>8</v>
      </c>
      <c r="F59" s="16">
        <v>70.87</v>
      </c>
      <c r="G59" s="16">
        <v>13.66</v>
      </c>
      <c r="H59" s="16">
        <v>71.414000000000001</v>
      </c>
    </row>
    <row r="60" spans="1:8" ht="15.45" customHeight="1" x14ac:dyDescent="0.3">
      <c r="A60" s="14">
        <v>46038</v>
      </c>
      <c r="B60" s="16" t="s">
        <v>70</v>
      </c>
      <c r="C60" s="16">
        <v>25</v>
      </c>
      <c r="D60" s="16" t="s">
        <v>58</v>
      </c>
      <c r="E60" s="16">
        <v>4</v>
      </c>
      <c r="F60" s="16">
        <v>74.599999999999994</v>
      </c>
      <c r="G60" s="16">
        <v>13.58</v>
      </c>
      <c r="H60" s="16">
        <v>74.838999999999999</v>
      </c>
    </row>
    <row r="61" spans="1:8" ht="15.45" customHeight="1" x14ac:dyDescent="0.3">
      <c r="A61" s="14">
        <v>46038</v>
      </c>
      <c r="B61" s="16" t="s">
        <v>8</v>
      </c>
      <c r="C61" s="16">
        <v>25</v>
      </c>
      <c r="D61" s="16" t="s">
        <v>58</v>
      </c>
      <c r="E61" s="16">
        <v>4</v>
      </c>
      <c r="F61" s="16">
        <v>73.400000000000006</v>
      </c>
      <c r="G61" s="16">
        <v>14.26</v>
      </c>
      <c r="H61" s="16">
        <v>75.632000000000005</v>
      </c>
    </row>
    <row r="62" spans="1:8" ht="15.45" customHeight="1" x14ac:dyDescent="0.3">
      <c r="A62" s="14">
        <v>46038</v>
      </c>
      <c r="B62" s="16" t="s">
        <v>66</v>
      </c>
      <c r="C62" s="16">
        <v>25</v>
      </c>
      <c r="D62" s="16" t="s">
        <v>58</v>
      </c>
      <c r="E62" s="16">
        <v>3</v>
      </c>
      <c r="F62" s="16">
        <v>75.010000000000005</v>
      </c>
      <c r="G62" s="16">
        <v>14.9</v>
      </c>
      <c r="H62" s="16">
        <v>78.66</v>
      </c>
    </row>
    <row r="63" spans="1:8" ht="15.45" customHeight="1" x14ac:dyDescent="0.3">
      <c r="A63" s="14">
        <v>46038</v>
      </c>
      <c r="B63" s="16" t="s">
        <v>66</v>
      </c>
      <c r="C63" s="16">
        <v>25</v>
      </c>
      <c r="D63" s="16" t="s">
        <v>58</v>
      </c>
      <c r="E63" s="16">
        <v>3</v>
      </c>
      <c r="F63" s="16">
        <v>74.98</v>
      </c>
      <c r="G63" s="16">
        <v>14.67</v>
      </c>
      <c r="H63" s="16">
        <v>78.096000000000004</v>
      </c>
    </row>
    <row r="64" spans="1:8" ht="15.45" customHeight="1" x14ac:dyDescent="0.3">
      <c r="A64" s="14">
        <v>46038</v>
      </c>
      <c r="B64" s="16" t="s">
        <v>70</v>
      </c>
      <c r="C64" s="16">
        <v>25</v>
      </c>
      <c r="D64" s="16" t="s">
        <v>58</v>
      </c>
      <c r="E64" s="16">
        <v>4</v>
      </c>
      <c r="F64" s="16">
        <v>73.209999999999994</v>
      </c>
      <c r="G64" s="16">
        <v>13.51</v>
      </c>
      <c r="H64" s="16">
        <v>73.242000000000004</v>
      </c>
    </row>
    <row r="65" spans="1:8" ht="15.45" customHeight="1" x14ac:dyDescent="0.3">
      <c r="A65" s="14">
        <v>46038</v>
      </c>
      <c r="B65" s="16" t="s">
        <v>8</v>
      </c>
      <c r="C65" s="16">
        <v>27</v>
      </c>
      <c r="D65" s="16" t="s">
        <v>60</v>
      </c>
      <c r="E65" s="16">
        <v>2</v>
      </c>
      <c r="F65" s="16">
        <v>73.14</v>
      </c>
      <c r="G65" s="16">
        <v>14.35</v>
      </c>
      <c r="H65" s="16">
        <v>75.64</v>
      </c>
    </row>
    <row r="66" spans="1:8" ht="15.45" customHeight="1" x14ac:dyDescent="0.3">
      <c r="A66" s="14">
        <v>46038</v>
      </c>
      <c r="B66" s="16" t="s">
        <v>70</v>
      </c>
      <c r="C66" s="16">
        <v>27</v>
      </c>
      <c r="D66" s="16" t="s">
        <v>60</v>
      </c>
      <c r="E66" s="16">
        <v>2</v>
      </c>
      <c r="F66" s="16">
        <v>71.680000000000007</v>
      </c>
      <c r="G66" s="16">
        <v>13.789</v>
      </c>
      <c r="H66" s="16">
        <v>72.623999999999995</v>
      </c>
    </row>
    <row r="67" spans="1:8" ht="15.45" customHeight="1" x14ac:dyDescent="0.3">
      <c r="A67" s="14">
        <v>46038</v>
      </c>
      <c r="B67" s="16" t="s">
        <v>8</v>
      </c>
      <c r="C67" s="16">
        <v>27</v>
      </c>
      <c r="D67" s="16" t="s">
        <v>60</v>
      </c>
      <c r="E67" s="16">
        <v>2</v>
      </c>
      <c r="F67" s="16">
        <v>72.39</v>
      </c>
      <c r="G67" s="16">
        <v>14.29</v>
      </c>
      <c r="H67" s="16">
        <v>74.790999999999997</v>
      </c>
    </row>
    <row r="68" spans="1:8" ht="15.45" customHeight="1" x14ac:dyDescent="0.3">
      <c r="A68" s="14">
        <v>46038</v>
      </c>
      <c r="B68" s="16" t="s">
        <v>66</v>
      </c>
      <c r="C68" s="16">
        <v>27</v>
      </c>
      <c r="D68" s="16" t="s">
        <v>60</v>
      </c>
      <c r="E68" s="16">
        <v>2</v>
      </c>
      <c r="F68" s="16">
        <v>68.930000000000007</v>
      </c>
      <c r="G68" s="16">
        <v>14.82</v>
      </c>
      <c r="H68" s="16">
        <v>73.238</v>
      </c>
    </row>
    <row r="69" spans="1:8" ht="15.45" customHeight="1" x14ac:dyDescent="0.3">
      <c r="A69" s="14">
        <v>46038</v>
      </c>
      <c r="B69" s="16" t="s">
        <v>66</v>
      </c>
      <c r="C69" s="16">
        <v>27</v>
      </c>
      <c r="D69" s="16" t="s">
        <v>60</v>
      </c>
      <c r="E69" s="16">
        <v>2</v>
      </c>
      <c r="F69" s="16">
        <v>68.84</v>
      </c>
      <c r="G69" s="16">
        <v>14.67</v>
      </c>
      <c r="H69" s="16">
        <v>72.72</v>
      </c>
    </row>
    <row r="70" spans="1:8" ht="15.45" customHeight="1" x14ac:dyDescent="0.3">
      <c r="A70" s="14">
        <v>46038</v>
      </c>
      <c r="B70" s="16" t="s">
        <v>70</v>
      </c>
      <c r="C70" s="16">
        <v>27</v>
      </c>
      <c r="D70" s="16" t="s">
        <v>60</v>
      </c>
      <c r="E70" s="16">
        <v>2</v>
      </c>
      <c r="F70" s="16">
        <v>71.22</v>
      </c>
      <c r="G70" s="16">
        <v>14.35</v>
      </c>
      <c r="H70" s="16">
        <v>73.899000000000001</v>
      </c>
    </row>
    <row r="71" spans="1:8" ht="15.45" customHeight="1" x14ac:dyDescent="0.3">
      <c r="A71" s="14">
        <v>46038</v>
      </c>
      <c r="B71" s="16" t="s">
        <v>8</v>
      </c>
      <c r="C71" s="16">
        <v>35</v>
      </c>
      <c r="D71" s="16" t="s">
        <v>73</v>
      </c>
      <c r="E71" s="16">
        <v>13</v>
      </c>
      <c r="F71" s="16">
        <v>69.12</v>
      </c>
      <c r="G71" s="16">
        <v>13.94</v>
      </c>
      <c r="H71" s="16">
        <v>70.665000000000006</v>
      </c>
    </row>
    <row r="72" spans="1:8" ht="15.45" customHeight="1" x14ac:dyDescent="0.3">
      <c r="A72" s="14">
        <v>46038</v>
      </c>
      <c r="B72" s="16" t="s">
        <v>8</v>
      </c>
      <c r="C72" s="16">
        <v>35</v>
      </c>
      <c r="D72" s="16" t="s">
        <v>73</v>
      </c>
      <c r="E72" s="16">
        <v>13</v>
      </c>
      <c r="F72" s="16">
        <v>70.290000000000006</v>
      </c>
      <c r="G72" s="16">
        <v>13.31</v>
      </c>
      <c r="H72" s="16">
        <v>69.608999999999995</v>
      </c>
    </row>
    <row r="73" spans="1:8" ht="15.45" customHeight="1" x14ac:dyDescent="0.3">
      <c r="A73" s="14">
        <v>46038</v>
      </c>
      <c r="B73" s="16" t="s">
        <v>66</v>
      </c>
      <c r="C73" s="16">
        <v>35</v>
      </c>
      <c r="D73" s="16" t="s">
        <v>73</v>
      </c>
      <c r="E73" s="16">
        <v>13</v>
      </c>
      <c r="F73" s="16">
        <v>70.849999999999994</v>
      </c>
      <c r="G73" s="16">
        <v>13.01</v>
      </c>
      <c r="H73" s="16">
        <v>69.073999999999998</v>
      </c>
    </row>
    <row r="74" spans="1:8" ht="15.45" customHeight="1" x14ac:dyDescent="0.3">
      <c r="A74" s="14">
        <v>46038</v>
      </c>
      <c r="B74" s="16" t="s">
        <v>66</v>
      </c>
      <c r="C74" s="16">
        <v>35</v>
      </c>
      <c r="D74" s="16" t="s">
        <v>73</v>
      </c>
      <c r="E74" s="16">
        <v>13</v>
      </c>
      <c r="F74" s="16">
        <v>70.64</v>
      </c>
      <c r="G74" s="16">
        <v>13.91</v>
      </c>
      <c r="H74" s="16">
        <v>72.012</v>
      </c>
    </row>
    <row r="75" spans="1:8" ht="15.45" customHeight="1" x14ac:dyDescent="0.3">
      <c r="A75" s="14">
        <v>46038</v>
      </c>
      <c r="B75" s="16" t="s">
        <v>66</v>
      </c>
      <c r="C75" s="16">
        <v>22</v>
      </c>
      <c r="D75" s="16" t="s">
        <v>90</v>
      </c>
      <c r="E75" s="16">
        <v>1</v>
      </c>
      <c r="F75" s="16">
        <v>82.94</v>
      </c>
      <c r="G75" s="16">
        <v>12.5</v>
      </c>
      <c r="H75" s="16">
        <v>80.703999999999994</v>
      </c>
    </row>
    <row r="76" spans="1:8" ht="15.45" customHeight="1" x14ac:dyDescent="0.3">
      <c r="A76" s="14">
        <v>46038</v>
      </c>
      <c r="B76" s="16" t="s">
        <v>8</v>
      </c>
      <c r="C76" s="16">
        <v>22</v>
      </c>
      <c r="D76" s="16" t="s">
        <v>90</v>
      </c>
      <c r="E76" s="16">
        <v>1</v>
      </c>
      <c r="F76" s="16">
        <v>81.209999999999994</v>
      </c>
      <c r="G76" s="16">
        <v>12.53</v>
      </c>
      <c r="H76" s="16">
        <v>78.828999999999994</v>
      </c>
    </row>
    <row r="77" spans="1:8" ht="15.45" customHeight="1" x14ac:dyDescent="0.3">
      <c r="A77" s="14">
        <v>46038</v>
      </c>
      <c r="B77" s="16" t="s">
        <v>70</v>
      </c>
      <c r="C77" s="16">
        <v>22</v>
      </c>
      <c r="D77" s="16" t="s">
        <v>90</v>
      </c>
      <c r="E77" s="16">
        <v>1</v>
      </c>
      <c r="F77" s="16">
        <v>82.64</v>
      </c>
      <c r="G77" s="16">
        <v>12.5</v>
      </c>
      <c r="H77" s="16">
        <v>80.364999999999995</v>
      </c>
    </row>
    <row r="78" spans="1:8" ht="15.45" customHeight="1" x14ac:dyDescent="0.3">
      <c r="A78" s="14">
        <v>46038</v>
      </c>
      <c r="B78" s="16" t="s">
        <v>66</v>
      </c>
      <c r="C78" s="16">
        <v>31</v>
      </c>
      <c r="D78" s="16" t="s">
        <v>92</v>
      </c>
      <c r="E78" s="16">
        <v>1</v>
      </c>
      <c r="F78" s="16">
        <v>81.510000000000005</v>
      </c>
      <c r="G78" s="16">
        <v>12.5</v>
      </c>
      <c r="H78" s="16">
        <v>79.087000000000003</v>
      </c>
    </row>
    <row r="79" spans="1:8" ht="15.45" customHeight="1" x14ac:dyDescent="0.3">
      <c r="A79" s="14">
        <v>46038</v>
      </c>
      <c r="B79" s="16" t="s">
        <v>8</v>
      </c>
      <c r="C79" s="16">
        <v>10</v>
      </c>
      <c r="D79" s="16" t="s">
        <v>54</v>
      </c>
      <c r="E79" s="16">
        <v>2</v>
      </c>
      <c r="F79" s="16">
        <v>66.14</v>
      </c>
      <c r="G79" s="16">
        <v>14.21</v>
      </c>
      <c r="H79" s="16">
        <v>68.805999999999997</v>
      </c>
    </row>
    <row r="80" spans="1:8" ht="15.45" customHeight="1" x14ac:dyDescent="0.3">
      <c r="A80" s="14">
        <v>46038</v>
      </c>
      <c r="B80" s="16" t="s">
        <v>70</v>
      </c>
      <c r="C80" s="16">
        <v>10</v>
      </c>
      <c r="D80" s="16" t="s">
        <v>54</v>
      </c>
      <c r="E80" s="16">
        <v>2</v>
      </c>
      <c r="F80" s="16">
        <v>69.5</v>
      </c>
      <c r="G80" s="16">
        <v>13.63</v>
      </c>
      <c r="H80" s="16">
        <v>69.963999999999999</v>
      </c>
    </row>
    <row r="81" spans="1:8" ht="15.45" customHeight="1" x14ac:dyDescent="0.3">
      <c r="A81" s="14">
        <v>46038</v>
      </c>
      <c r="B81" s="16" t="s">
        <v>8</v>
      </c>
      <c r="C81" s="16">
        <v>10</v>
      </c>
      <c r="D81" s="16" t="s">
        <v>54</v>
      </c>
      <c r="E81" s="16">
        <v>2</v>
      </c>
      <c r="F81" s="16">
        <v>66.510000000000005</v>
      </c>
      <c r="G81" s="16">
        <v>14.34</v>
      </c>
      <c r="H81" s="16">
        <v>69.593000000000004</v>
      </c>
    </row>
    <row r="82" spans="1:8" ht="15.45" customHeight="1" x14ac:dyDescent="0.3">
      <c r="A82" s="14">
        <v>46038</v>
      </c>
      <c r="B82" s="16" t="s">
        <v>70</v>
      </c>
      <c r="C82" s="16">
        <v>10</v>
      </c>
      <c r="D82" s="16" t="s">
        <v>54</v>
      </c>
      <c r="E82" s="16">
        <v>2</v>
      </c>
      <c r="F82" s="16">
        <v>70.22</v>
      </c>
      <c r="G82" s="16">
        <v>14.03</v>
      </c>
      <c r="H82" s="16">
        <v>71.998999999999995</v>
      </c>
    </row>
    <row r="83" spans="1:8" ht="15.45" customHeight="1" x14ac:dyDescent="0.3">
      <c r="A83" s="14">
        <v>46038</v>
      </c>
      <c r="B83" s="16" t="s">
        <v>8</v>
      </c>
      <c r="C83" s="16">
        <v>26</v>
      </c>
      <c r="D83" s="16" t="s">
        <v>50</v>
      </c>
      <c r="E83" s="16">
        <v>14</v>
      </c>
      <c r="F83" s="16">
        <v>54.07</v>
      </c>
      <c r="G83" s="16">
        <v>14.86</v>
      </c>
      <c r="H83" s="16">
        <v>60.609000000000002</v>
      </c>
    </row>
    <row r="84" spans="1:8" ht="15.45" customHeight="1" x14ac:dyDescent="0.3">
      <c r="A84" s="14">
        <v>46038</v>
      </c>
      <c r="B84" s="16" t="s">
        <v>8</v>
      </c>
      <c r="C84" s="16">
        <v>9</v>
      </c>
      <c r="D84" s="16" t="s">
        <v>50</v>
      </c>
      <c r="E84" s="16">
        <v>14</v>
      </c>
      <c r="F84" s="16">
        <v>54.8</v>
      </c>
      <c r="G84" s="16">
        <v>14.15</v>
      </c>
      <c r="H84" s="16">
        <v>58.076000000000001</v>
      </c>
    </row>
    <row r="85" spans="1:8" ht="15.45" customHeight="1" x14ac:dyDescent="0.3">
      <c r="A85" s="14">
        <v>46038</v>
      </c>
      <c r="B85" s="16" t="s">
        <v>8</v>
      </c>
      <c r="C85" s="16">
        <v>11</v>
      </c>
      <c r="D85" s="16" t="s">
        <v>50</v>
      </c>
      <c r="E85" s="16">
        <v>14</v>
      </c>
      <c r="F85" s="16">
        <v>58.23</v>
      </c>
      <c r="G85" s="16">
        <v>14.52</v>
      </c>
      <c r="H85" s="16">
        <v>62.825000000000003</v>
      </c>
    </row>
    <row r="86" spans="1:8" ht="15.45" customHeight="1" x14ac:dyDescent="0.3">
      <c r="A86" s="14">
        <v>46038</v>
      </c>
      <c r="B86" s="16" t="s">
        <v>70</v>
      </c>
      <c r="C86" s="16">
        <v>9</v>
      </c>
      <c r="D86" s="16" t="s">
        <v>50</v>
      </c>
      <c r="E86" s="16">
        <v>15</v>
      </c>
      <c r="F86" s="16">
        <v>53.98</v>
      </c>
      <c r="G86" s="16">
        <v>13.89</v>
      </c>
      <c r="H86" s="16">
        <v>56.03</v>
      </c>
    </row>
    <row r="87" spans="1:8" ht="15.45" customHeight="1" x14ac:dyDescent="0.3">
      <c r="A87" s="14">
        <v>46038</v>
      </c>
      <c r="B87" s="16" t="s">
        <v>70</v>
      </c>
      <c r="C87" s="16">
        <v>11</v>
      </c>
      <c r="D87" s="16" t="s">
        <v>50</v>
      </c>
      <c r="E87" s="16">
        <v>15</v>
      </c>
      <c r="F87" s="16">
        <v>59.18</v>
      </c>
      <c r="G87" s="16">
        <v>12.88</v>
      </c>
      <c r="H87" s="16">
        <v>55.991</v>
      </c>
    </row>
    <row r="88" spans="1:8" ht="15.45" customHeight="1" x14ac:dyDescent="0.3">
      <c r="A88" s="14">
        <v>46038</v>
      </c>
      <c r="B88" s="16" t="s">
        <v>70</v>
      </c>
      <c r="C88" s="16">
        <v>26</v>
      </c>
      <c r="D88" s="16" t="s">
        <v>50</v>
      </c>
      <c r="E88" s="16">
        <v>15</v>
      </c>
      <c r="F88" s="16">
        <v>56.83</v>
      </c>
      <c r="G88" s="16">
        <v>13.58</v>
      </c>
      <c r="H88" s="16">
        <v>57.235999999999997</v>
      </c>
    </row>
    <row r="89" spans="1:8" ht="15.45" customHeight="1" x14ac:dyDescent="0.3">
      <c r="A89" s="14">
        <v>46038</v>
      </c>
      <c r="B89" s="16" t="s">
        <v>8</v>
      </c>
      <c r="C89" s="16">
        <v>26</v>
      </c>
      <c r="D89" s="16" t="s">
        <v>50</v>
      </c>
      <c r="E89" s="16">
        <v>14</v>
      </c>
      <c r="F89" s="16">
        <v>53.69</v>
      </c>
      <c r="G89" s="16">
        <v>14.31</v>
      </c>
      <c r="H89" s="16">
        <v>57.811999999999998</v>
      </c>
    </row>
    <row r="90" spans="1:8" ht="15.45" customHeight="1" x14ac:dyDescent="0.3">
      <c r="A90" s="14">
        <v>46038</v>
      </c>
      <c r="B90" s="16" t="s">
        <v>8</v>
      </c>
      <c r="C90" s="16">
        <v>11</v>
      </c>
      <c r="D90" s="16" t="s">
        <v>50</v>
      </c>
      <c r="E90" s="16">
        <v>14</v>
      </c>
      <c r="F90" s="16">
        <v>57.3</v>
      </c>
      <c r="G90" s="16">
        <v>13.84</v>
      </c>
      <c r="H90" s="16">
        <v>58.966000000000001</v>
      </c>
    </row>
    <row r="91" spans="1:8" ht="15.45" customHeight="1" x14ac:dyDescent="0.3">
      <c r="A91" s="14">
        <v>46038</v>
      </c>
      <c r="B91" s="16" t="s">
        <v>8</v>
      </c>
      <c r="C91" s="16">
        <v>9</v>
      </c>
      <c r="D91" s="16" t="s">
        <v>50</v>
      </c>
      <c r="E91" s="16">
        <v>14</v>
      </c>
      <c r="F91" s="16">
        <v>53.7</v>
      </c>
      <c r="G91" s="16">
        <v>14.57</v>
      </c>
      <c r="H91" s="16">
        <v>59.018999999999998</v>
      </c>
    </row>
    <row r="92" spans="1:8" ht="15.45" customHeight="1" x14ac:dyDescent="0.3">
      <c r="A92" s="14">
        <v>46038</v>
      </c>
      <c r="B92" s="16" t="s">
        <v>66</v>
      </c>
      <c r="C92" s="16">
        <v>26</v>
      </c>
      <c r="D92" s="16" t="s">
        <v>50</v>
      </c>
      <c r="E92" s="16">
        <v>14</v>
      </c>
      <c r="F92" s="16">
        <v>51.81</v>
      </c>
      <c r="G92" s="16">
        <v>15.09</v>
      </c>
      <c r="H92" s="16">
        <v>59.673999999999999</v>
      </c>
    </row>
    <row r="93" spans="1:8" ht="15.45" customHeight="1" x14ac:dyDescent="0.3">
      <c r="A93" s="14">
        <v>46038</v>
      </c>
      <c r="B93" s="16" t="s">
        <v>66</v>
      </c>
      <c r="C93" s="16">
        <v>9</v>
      </c>
      <c r="D93" s="16" t="s">
        <v>50</v>
      </c>
      <c r="E93" s="16">
        <v>14</v>
      </c>
      <c r="F93" s="16">
        <v>55.38</v>
      </c>
      <c r="G93" s="16">
        <v>14.38</v>
      </c>
      <c r="H93" s="16">
        <v>59.667999999999999</v>
      </c>
    </row>
    <row r="94" spans="1:8" ht="15.45" customHeight="1" x14ac:dyDescent="0.3">
      <c r="A94" s="14">
        <v>46038</v>
      </c>
      <c r="B94" s="16" t="s">
        <v>66</v>
      </c>
      <c r="C94" s="16">
        <v>11</v>
      </c>
      <c r="D94" s="16" t="s">
        <v>50</v>
      </c>
      <c r="E94" s="16">
        <v>14</v>
      </c>
      <c r="F94" s="16">
        <v>55.33</v>
      </c>
      <c r="G94" s="16">
        <v>15.03</v>
      </c>
      <c r="H94" s="16">
        <v>62.38</v>
      </c>
    </row>
    <row r="95" spans="1:8" ht="15.45" customHeight="1" x14ac:dyDescent="0.3">
      <c r="A95" s="14">
        <v>46038</v>
      </c>
      <c r="B95" s="16" t="s">
        <v>66</v>
      </c>
      <c r="C95" s="16">
        <v>26</v>
      </c>
      <c r="D95" s="16" t="s">
        <v>50</v>
      </c>
      <c r="E95" s="16">
        <v>14</v>
      </c>
      <c r="F95" s="16">
        <v>51.92</v>
      </c>
      <c r="G95" s="16">
        <v>14.32</v>
      </c>
      <c r="H95" s="16">
        <v>56.249000000000002</v>
      </c>
    </row>
    <row r="96" spans="1:8" ht="15.45" customHeight="1" x14ac:dyDescent="0.3">
      <c r="A96" s="14">
        <v>46038</v>
      </c>
      <c r="B96" s="16" t="s">
        <v>66</v>
      </c>
      <c r="C96" s="16">
        <v>9</v>
      </c>
      <c r="D96" s="16" t="s">
        <v>50</v>
      </c>
      <c r="E96" s="16">
        <v>14</v>
      </c>
      <c r="F96" s="16">
        <v>55.46</v>
      </c>
      <c r="G96" s="16">
        <v>14.48</v>
      </c>
      <c r="H96" s="16">
        <v>60.183999999999997</v>
      </c>
    </row>
    <row r="97" spans="1:8" ht="15.45" customHeight="1" x14ac:dyDescent="0.3">
      <c r="A97" s="14">
        <v>46038</v>
      </c>
      <c r="B97" s="16" t="s">
        <v>66</v>
      </c>
      <c r="C97" s="16">
        <v>11</v>
      </c>
      <c r="D97" s="16" t="s">
        <v>50</v>
      </c>
      <c r="E97" s="16">
        <v>14</v>
      </c>
      <c r="F97" s="16">
        <v>55.42</v>
      </c>
      <c r="G97" s="16">
        <v>14.42</v>
      </c>
      <c r="H97" s="16">
        <v>59.883000000000003</v>
      </c>
    </row>
    <row r="98" spans="1:8" ht="15.45" customHeight="1" x14ac:dyDescent="0.3">
      <c r="A98" s="14">
        <v>46038</v>
      </c>
      <c r="B98" s="16" t="s">
        <v>70</v>
      </c>
      <c r="C98" s="16">
        <v>9</v>
      </c>
      <c r="D98" s="16" t="s">
        <v>50</v>
      </c>
      <c r="E98" s="16">
        <v>15</v>
      </c>
      <c r="F98" s="16">
        <v>54.55</v>
      </c>
      <c r="G98" s="16">
        <v>13.92</v>
      </c>
      <c r="H98" s="16">
        <v>56.723999999999997</v>
      </c>
    </row>
    <row r="99" spans="1:8" ht="15.45" customHeight="1" x14ac:dyDescent="0.3">
      <c r="A99" s="14">
        <v>46038</v>
      </c>
      <c r="B99" s="16" t="s">
        <v>70</v>
      </c>
      <c r="C99" s="16">
        <v>11</v>
      </c>
      <c r="D99" s="16" t="s">
        <v>50</v>
      </c>
      <c r="E99" s="16">
        <v>15</v>
      </c>
      <c r="F99" s="16">
        <v>59.88</v>
      </c>
      <c r="G99" s="16">
        <v>13.62</v>
      </c>
      <c r="H99" s="16">
        <v>60.444000000000003</v>
      </c>
    </row>
    <row r="100" spans="1:8" ht="15.45" customHeight="1" x14ac:dyDescent="0.3">
      <c r="A100" s="14">
        <v>46038</v>
      </c>
      <c r="B100" s="16" t="s">
        <v>70</v>
      </c>
      <c r="C100" s="16">
        <v>26</v>
      </c>
      <c r="D100" s="16" t="s">
        <v>50</v>
      </c>
      <c r="E100" s="16">
        <v>15</v>
      </c>
      <c r="F100" s="16">
        <v>57.39</v>
      </c>
      <c r="G100" s="16">
        <v>14.04</v>
      </c>
      <c r="H100" s="16">
        <v>59.981999999999999</v>
      </c>
    </row>
    <row r="101" spans="1:8" ht="15.45" customHeight="1" x14ac:dyDescent="0.3">
      <c r="A101" s="14">
        <v>46038</v>
      </c>
      <c r="B101" s="16" t="s">
        <v>70</v>
      </c>
      <c r="C101" s="16">
        <v>33</v>
      </c>
      <c r="D101" s="16" t="s">
        <v>64</v>
      </c>
      <c r="E101" s="16">
        <v>8</v>
      </c>
      <c r="F101" s="16">
        <v>70.66</v>
      </c>
      <c r="G101" s="16">
        <v>14.02</v>
      </c>
      <c r="H101" s="16">
        <v>72.382000000000005</v>
      </c>
    </row>
    <row r="102" spans="1:8" ht="15.45" customHeight="1" x14ac:dyDescent="0.3">
      <c r="A102" s="14">
        <v>46038</v>
      </c>
      <c r="B102" s="16" t="s">
        <v>8</v>
      </c>
      <c r="C102" s="16">
        <v>33</v>
      </c>
      <c r="D102" s="16" t="s">
        <v>64</v>
      </c>
      <c r="E102" s="16">
        <v>8</v>
      </c>
      <c r="F102" s="16">
        <v>71.81</v>
      </c>
      <c r="G102" s="16">
        <v>14.36</v>
      </c>
      <c r="H102" s="16">
        <v>74.462000000000003</v>
      </c>
    </row>
    <row r="103" spans="1:8" ht="15.45" customHeight="1" x14ac:dyDescent="0.3">
      <c r="A103" s="14">
        <v>46038</v>
      </c>
      <c r="B103" s="16" t="s">
        <v>66</v>
      </c>
      <c r="C103" s="16">
        <v>33</v>
      </c>
      <c r="D103" s="16" t="s">
        <v>64</v>
      </c>
      <c r="E103" s="16">
        <v>8</v>
      </c>
      <c r="F103" s="16">
        <v>70.819999999999993</v>
      </c>
      <c r="G103" s="16">
        <v>14.78</v>
      </c>
      <c r="H103" s="16">
        <v>74.757000000000005</v>
      </c>
    </row>
    <row r="104" spans="1:8" ht="15.45" customHeight="1" x14ac:dyDescent="0.3">
      <c r="A104" s="14">
        <v>46038</v>
      </c>
      <c r="B104" s="16" t="s">
        <v>66</v>
      </c>
      <c r="C104" s="16">
        <v>33</v>
      </c>
      <c r="D104" s="16" t="s">
        <v>64</v>
      </c>
      <c r="E104" s="16">
        <v>8</v>
      </c>
      <c r="F104" s="16">
        <v>70.680000000000007</v>
      </c>
      <c r="G104" s="16">
        <v>14.54</v>
      </c>
      <c r="H104" s="16">
        <v>73.962999999999994</v>
      </c>
    </row>
    <row r="105" spans="1:8" ht="15.45" customHeight="1" x14ac:dyDescent="0.3">
      <c r="A105" s="14">
        <v>46038</v>
      </c>
      <c r="B105" s="16" t="s">
        <v>70</v>
      </c>
      <c r="C105" s="16">
        <v>33</v>
      </c>
      <c r="D105" s="16" t="s">
        <v>64</v>
      </c>
      <c r="E105" s="16">
        <v>9</v>
      </c>
      <c r="F105" s="16">
        <v>70.95</v>
      </c>
      <c r="G105" s="16">
        <v>14.21</v>
      </c>
      <c r="H105" s="16">
        <v>73.236999999999995</v>
      </c>
    </row>
    <row r="106" spans="1:8" ht="15.45" customHeight="1" x14ac:dyDescent="0.3">
      <c r="A106" s="14">
        <v>46038</v>
      </c>
      <c r="B106" s="16" t="s">
        <v>70</v>
      </c>
      <c r="C106" s="16">
        <v>38</v>
      </c>
      <c r="D106" s="16" t="s">
        <v>52</v>
      </c>
      <c r="E106" s="16">
        <v>5</v>
      </c>
      <c r="F106" s="16">
        <v>67.760000000000005</v>
      </c>
      <c r="G106" s="16">
        <v>14.7</v>
      </c>
      <c r="H106" s="16">
        <v>71.867000000000004</v>
      </c>
    </row>
    <row r="107" spans="1:8" ht="15.45" customHeight="1" x14ac:dyDescent="0.3">
      <c r="A107" s="14">
        <v>46038</v>
      </c>
      <c r="B107" s="16" t="s">
        <v>8</v>
      </c>
      <c r="C107" s="16">
        <v>38</v>
      </c>
      <c r="D107" s="16" t="s">
        <v>52</v>
      </c>
      <c r="E107" s="16">
        <v>5</v>
      </c>
      <c r="F107" s="16">
        <v>65.64</v>
      </c>
      <c r="G107" s="16">
        <v>15.01</v>
      </c>
      <c r="H107" s="16">
        <v>71.001000000000005</v>
      </c>
    </row>
    <row r="108" spans="1:8" ht="15.45" customHeight="1" x14ac:dyDescent="0.3">
      <c r="A108" s="14">
        <v>46038</v>
      </c>
      <c r="B108" s="16" t="s">
        <v>66</v>
      </c>
      <c r="C108" s="16">
        <v>38</v>
      </c>
      <c r="D108" s="16" t="s">
        <v>52</v>
      </c>
      <c r="E108" s="16">
        <v>5</v>
      </c>
      <c r="F108" s="16">
        <v>63.43</v>
      </c>
      <c r="G108" s="16">
        <v>15.53</v>
      </c>
      <c r="H108" s="16">
        <v>70.772999999999996</v>
      </c>
    </row>
    <row r="109" spans="1:8" ht="15.45" customHeight="1" x14ac:dyDescent="0.3">
      <c r="A109" s="14">
        <v>46038</v>
      </c>
      <c r="B109" s="16" t="s">
        <v>66</v>
      </c>
      <c r="C109" s="16">
        <v>38</v>
      </c>
      <c r="D109" s="16" t="s">
        <v>52</v>
      </c>
      <c r="E109" s="16">
        <v>5</v>
      </c>
      <c r="F109" s="16">
        <v>54.12</v>
      </c>
      <c r="G109" s="16">
        <v>14.01</v>
      </c>
      <c r="H109" s="16">
        <v>56.762999999999998</v>
      </c>
    </row>
    <row r="110" spans="1:8" ht="15.45" customHeight="1" x14ac:dyDescent="0.3">
      <c r="A110" s="14">
        <v>46038</v>
      </c>
      <c r="B110" s="16" t="s">
        <v>70</v>
      </c>
      <c r="C110" s="16">
        <v>38</v>
      </c>
      <c r="D110" s="16" t="s">
        <v>52</v>
      </c>
      <c r="E110" s="16">
        <v>5</v>
      </c>
      <c r="F110" s="16">
        <v>68.23</v>
      </c>
      <c r="G110" s="16">
        <v>14.88</v>
      </c>
      <c r="H110" s="16">
        <v>72.811000000000007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25B2-6331-4FEE-8FA7-CBB87A2238B4}">
  <dimension ref="A2:D20"/>
  <sheetViews>
    <sheetView workbookViewId="0">
      <selection activeCell="A2" sqref="A2:D20"/>
    </sheetView>
  </sheetViews>
  <sheetFormatPr defaultRowHeight="14.4" x14ac:dyDescent="0.3"/>
  <cols>
    <col min="2" max="2" width="15.88671875" bestFit="1" customWidth="1"/>
    <col min="3" max="3" width="19" bestFit="1" customWidth="1"/>
    <col min="4" max="4" width="17.5546875" bestFit="1" customWidth="1"/>
  </cols>
  <sheetData>
    <row r="2" spans="1:4" x14ac:dyDescent="0.3">
      <c r="A2" s="19"/>
      <c r="B2" s="19"/>
      <c r="C2" s="19" t="s">
        <v>86</v>
      </c>
      <c r="D2" s="19"/>
    </row>
    <row r="3" spans="1:4" x14ac:dyDescent="0.3">
      <c r="A3" s="11" t="s">
        <v>87</v>
      </c>
      <c r="B3" s="11" t="s">
        <v>141</v>
      </c>
      <c r="C3" s="11" t="s">
        <v>142</v>
      </c>
      <c r="D3" s="11" t="s">
        <v>143</v>
      </c>
    </row>
    <row r="4" spans="1:4" x14ac:dyDescent="0.3">
      <c r="A4" s="12">
        <v>10</v>
      </c>
      <c r="B4" s="42" t="s">
        <v>54</v>
      </c>
      <c r="C4" s="17">
        <v>70.115000000000009</v>
      </c>
      <c r="D4" s="17">
        <v>73.868499999999997</v>
      </c>
    </row>
    <row r="5" spans="1:4" x14ac:dyDescent="0.3">
      <c r="A5" s="12"/>
      <c r="B5" s="6" t="s">
        <v>67</v>
      </c>
      <c r="C5" s="17">
        <v>65.760000000000005</v>
      </c>
      <c r="D5" s="17">
        <v>69.991</v>
      </c>
    </row>
    <row r="6" spans="1:4" x14ac:dyDescent="0.3">
      <c r="A6" s="12">
        <v>20</v>
      </c>
      <c r="B6" s="25" t="s">
        <v>69</v>
      </c>
      <c r="C6" s="17">
        <v>54.584999999999994</v>
      </c>
      <c r="D6" s="17">
        <v>61.397999999999996</v>
      </c>
    </row>
    <row r="7" spans="1:4" x14ac:dyDescent="0.3">
      <c r="A7" s="12">
        <v>24</v>
      </c>
      <c r="B7" s="6" t="s">
        <v>56</v>
      </c>
      <c r="C7" s="17">
        <v>68.069999999999993</v>
      </c>
      <c r="D7" s="17">
        <v>74.402000000000001</v>
      </c>
    </row>
    <row r="8" spans="1:4" x14ac:dyDescent="0.3">
      <c r="A8" s="12">
        <v>25</v>
      </c>
      <c r="B8" s="25" t="s">
        <v>58</v>
      </c>
      <c r="C8" s="17">
        <v>73.23</v>
      </c>
      <c r="D8" s="17">
        <v>77.503</v>
      </c>
    </row>
    <row r="9" spans="1:4" x14ac:dyDescent="0.3">
      <c r="A9" s="12">
        <v>26</v>
      </c>
      <c r="B9" s="6" t="s">
        <v>50</v>
      </c>
      <c r="C9" s="17">
        <v>50.08</v>
      </c>
      <c r="D9" s="17">
        <v>60.103999999999999</v>
      </c>
    </row>
    <row r="10" spans="1:4" x14ac:dyDescent="0.3">
      <c r="A10" s="12">
        <v>27</v>
      </c>
      <c r="B10" s="25" t="s">
        <v>60</v>
      </c>
      <c r="C10" s="17">
        <v>69.981999999999999</v>
      </c>
      <c r="D10" s="17">
        <v>73.30619999999999</v>
      </c>
    </row>
    <row r="11" spans="1:4" x14ac:dyDescent="0.3">
      <c r="A11" s="12">
        <v>33</v>
      </c>
      <c r="B11" s="25" t="s">
        <v>64</v>
      </c>
      <c r="C11" s="17">
        <v>69.657499999999999</v>
      </c>
      <c r="D11" s="17">
        <v>75.1785</v>
      </c>
    </row>
    <row r="12" spans="1:4" x14ac:dyDescent="0.3">
      <c r="A12" s="12">
        <v>34</v>
      </c>
      <c r="B12" s="6" t="s">
        <v>78</v>
      </c>
      <c r="C12" s="17">
        <v>70.69250000000001</v>
      </c>
      <c r="D12" s="17">
        <v>74.175249999999991</v>
      </c>
    </row>
    <row r="13" spans="1:4" x14ac:dyDescent="0.3">
      <c r="A13" s="12">
        <v>35</v>
      </c>
      <c r="B13" s="6" t="s">
        <v>62</v>
      </c>
      <c r="C13" s="17">
        <v>70.045000000000002</v>
      </c>
      <c r="D13" s="17">
        <v>71.28</v>
      </c>
    </row>
    <row r="14" spans="1:4" x14ac:dyDescent="0.3">
      <c r="A14" s="12">
        <v>36</v>
      </c>
      <c r="B14" s="25" t="s">
        <v>72</v>
      </c>
      <c r="C14" s="17">
        <v>57.18</v>
      </c>
      <c r="D14" s="17">
        <v>52.566000000000003</v>
      </c>
    </row>
    <row r="15" spans="1:4" x14ac:dyDescent="0.3">
      <c r="A15" s="12">
        <v>38</v>
      </c>
      <c r="B15" s="42" t="s">
        <v>52</v>
      </c>
      <c r="C15" s="17">
        <v>66.984999999999999</v>
      </c>
      <c r="D15" s="17">
        <v>72.195249999999987</v>
      </c>
    </row>
    <row r="16" spans="1:4" x14ac:dyDescent="0.3">
      <c r="A16" s="12">
        <v>9</v>
      </c>
      <c r="B16" s="6" t="s">
        <v>50</v>
      </c>
      <c r="C16" s="17">
        <v>50.704999999999998</v>
      </c>
      <c r="D16" s="17">
        <v>58.582499999999996</v>
      </c>
    </row>
    <row r="17" spans="1:4" x14ac:dyDescent="0.3">
      <c r="A17" s="12">
        <v>31</v>
      </c>
      <c r="B17" s="25" t="s">
        <v>102</v>
      </c>
      <c r="C17" s="17">
        <v>78.92</v>
      </c>
      <c r="D17" s="17">
        <v>76.158000000000001</v>
      </c>
    </row>
    <row r="18" spans="1:4" x14ac:dyDescent="0.3">
      <c r="A18" s="12"/>
      <c r="B18" s="25" t="s">
        <v>101</v>
      </c>
      <c r="C18" s="17">
        <v>80.22</v>
      </c>
      <c r="D18" s="17">
        <v>77.628</v>
      </c>
    </row>
    <row r="19" spans="1:4" x14ac:dyDescent="0.3">
      <c r="A19" s="27">
        <v>11</v>
      </c>
      <c r="B19" s="25" t="s">
        <v>50</v>
      </c>
      <c r="C19" s="17">
        <v>55.31</v>
      </c>
      <c r="D19" s="17">
        <v>59.870199999999997</v>
      </c>
    </row>
    <row r="20" spans="1:4" x14ac:dyDescent="0.3">
      <c r="A20" s="11" t="s">
        <v>49</v>
      </c>
      <c r="B20" s="11"/>
      <c r="C20" s="18">
        <v>65.193157894736842</v>
      </c>
      <c r="D20" s="18">
        <v>69.033000000000015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15CD-1097-4B56-ABE0-3D89731C3E09}">
  <dimension ref="A2:M21"/>
  <sheetViews>
    <sheetView tabSelected="1" workbookViewId="0">
      <selection activeCell="I12" sqref="I12"/>
    </sheetView>
  </sheetViews>
  <sheetFormatPr defaultRowHeight="14.4" x14ac:dyDescent="0.3"/>
  <cols>
    <col min="2" max="2" width="16.21875" bestFit="1" customWidth="1"/>
    <col min="3" max="3" width="11" bestFit="1" customWidth="1"/>
  </cols>
  <sheetData>
    <row r="2" spans="1:13" ht="15.6" x14ac:dyDescent="0.3">
      <c r="A2" s="43" t="s">
        <v>107</v>
      </c>
      <c r="B2" s="43" t="s">
        <v>108</v>
      </c>
      <c r="C2" s="43" t="s">
        <v>144</v>
      </c>
      <c r="D2" s="43" t="s">
        <v>145</v>
      </c>
      <c r="E2" s="44" t="s">
        <v>146</v>
      </c>
      <c r="F2" s="44" t="s">
        <v>147</v>
      </c>
      <c r="G2" s="43" t="s">
        <v>148</v>
      </c>
      <c r="H2" s="43" t="s">
        <v>149</v>
      </c>
      <c r="I2" s="43" t="s">
        <v>150</v>
      </c>
      <c r="J2" s="43" t="s">
        <v>151</v>
      </c>
      <c r="K2" s="43" t="s">
        <v>152</v>
      </c>
      <c r="L2" s="43" t="s">
        <v>153</v>
      </c>
      <c r="M2" s="43" t="s">
        <v>154</v>
      </c>
    </row>
    <row r="3" spans="1:13" x14ac:dyDescent="0.3">
      <c r="A3" s="45">
        <v>10</v>
      </c>
      <c r="B3" s="1" t="s">
        <v>54</v>
      </c>
      <c r="C3" s="46">
        <v>278.10000000000008</v>
      </c>
      <c r="D3" s="46">
        <v>278.79208333333332</v>
      </c>
      <c r="E3" s="47">
        <f>IFERROR(VLOOKUP(B3,'[1]IWV aa'!B$5:C47,2,0),"")</f>
        <v>2.1823529411764714E-2</v>
      </c>
      <c r="F3" s="47">
        <f>IFERROR(VLOOKUP(B3,'[1]Circ Ana'!B$5:D$44,3,0),"")</f>
        <v>5.0558823529411753E-2</v>
      </c>
      <c r="G3" s="48">
        <f>IFERROR(VLOOKUP(B3,'[1]PDO Ana'!B$5:D$66,2,0),"")</f>
        <v>110</v>
      </c>
      <c r="H3" s="49">
        <f>IFERROR(VLOOKUP(B3,'[1]PDO Ana'!B$5:D$66,3,0),"")</f>
        <v>112.58823529411765</v>
      </c>
      <c r="I3" s="49">
        <f>IFERROR(ABS(G3-H3),"")</f>
        <v>2.5882352941176521</v>
      </c>
      <c r="J3" s="49">
        <f>IFERROR(VLOOKUP(B3,'[1]PDO Ana'!B$5:E$66,4,0),"")</f>
        <v>3.4705882352941178</v>
      </c>
      <c r="K3" s="50">
        <f>IFERROR(VLOOKUP(B3,'[1]Venti Ana'!B$5:E37,2,0), "")</f>
        <v>20</v>
      </c>
      <c r="L3" s="51">
        <f>IFERROR(VLOOKUP(B3,'[1]Venti Ana'!B$5:F$36,3,0),"")</f>
        <v>19.735882352941179</v>
      </c>
      <c r="M3" s="51">
        <f>IFERROR(VLOOKUP(B3,'[1]Venti Ana'!B$5:G$36,4,0),"")</f>
        <v>1.1702941176470585</v>
      </c>
    </row>
    <row r="4" spans="1:13" x14ac:dyDescent="0.3">
      <c r="A4" s="45">
        <v>19</v>
      </c>
      <c r="B4" s="1" t="s">
        <v>79</v>
      </c>
      <c r="C4" s="46">
        <v>327.3</v>
      </c>
      <c r="D4" s="46">
        <v>329.85</v>
      </c>
      <c r="E4" s="47">
        <f>IFERROR(VLOOKUP(B4,'[1]IWV aa'!B$5:C48,2,0),"")</f>
        <v>4.3499999999999997E-2</v>
      </c>
      <c r="F4" s="47">
        <f>IFERROR(VLOOKUP(B4,'[1]Circ Ana'!B$5:D$44,3,0),"")</f>
        <v>6.7250000000000004E-2</v>
      </c>
      <c r="G4" s="48" t="str">
        <f>IFERROR(VLOOKUP(B4,'[1]PDO Ana'!B$5:D$66,2,0),"")</f>
        <v/>
      </c>
      <c r="H4" s="49" t="str">
        <f>IFERROR(VLOOKUP(B4,'[1]PDO Ana'!B$5:D$66,3,0),"")</f>
        <v/>
      </c>
      <c r="I4" s="49" t="str">
        <f t="shared" ref="I4:I21" si="0">IFERROR(ABS(G4-H4),"")</f>
        <v/>
      </c>
      <c r="J4" s="49" t="str">
        <f>IFERROR(VLOOKUP(B4,'[1]PDO Ana'!B$5:E$66,4,0),"")</f>
        <v/>
      </c>
      <c r="K4" s="50">
        <f>IFERROR(VLOOKUP(B4,'[1]Venti Ana'!B$5:E38,2,0), "")</f>
        <v>30</v>
      </c>
      <c r="L4" s="51">
        <f>IFERROR(VLOOKUP(B4,'[1]Venti Ana'!B$5:F$36,3,0),"")</f>
        <v>31.042500000000004</v>
      </c>
      <c r="M4" s="51">
        <f>IFERROR(VLOOKUP(B4,'[1]Venti Ana'!B$5:G$36,4,0),"")</f>
        <v>2.5149999999999997</v>
      </c>
    </row>
    <row r="5" spans="1:13" x14ac:dyDescent="0.3">
      <c r="A5" s="45">
        <v>20</v>
      </c>
      <c r="B5" s="1" t="s">
        <v>69</v>
      </c>
      <c r="C5" s="46">
        <v>173.40000000000006</v>
      </c>
      <c r="D5" s="46">
        <v>172.96956521739131</v>
      </c>
      <c r="E5" s="47">
        <f>IFERROR(VLOOKUP(B5,'[1]IWV aa'!B$5:C49,2,0),"")</f>
        <v>1.8484848484848493E-2</v>
      </c>
      <c r="F5" s="47">
        <f>IFERROR(VLOOKUP(B5,'[1]Circ Ana'!B$5:D$44,3,0),"")</f>
        <v>7.8575757575757577E-2</v>
      </c>
      <c r="G5" s="48">
        <f>IFERROR(VLOOKUP(B5,'[1]PDO Ana'!B$5:D$66,2,0),"")</f>
        <v>170</v>
      </c>
      <c r="H5" s="49">
        <f>IFERROR(VLOOKUP(B5,'[1]PDO Ana'!B$5:D$66,3,0),"")</f>
        <v>174.57575757575756</v>
      </c>
      <c r="I5" s="49">
        <f t="shared" si="0"/>
        <v>4.5757575757575637</v>
      </c>
      <c r="J5" s="49">
        <f>IFERROR(VLOOKUP(B5,'[1]PDO Ana'!B$5:E$66,4,0),"")</f>
        <v>10.121212121212121</v>
      </c>
      <c r="K5" s="50">
        <f>IFERROR(VLOOKUP(B5,'[1]Venti Ana'!B$5:E39,2,0), "")</f>
        <v>35</v>
      </c>
      <c r="L5" s="51">
        <f>IFERROR(VLOOKUP(B5,'[1]Venti Ana'!B$5:F$36,3,0),"")</f>
        <v>35.576969696969698</v>
      </c>
      <c r="M5" s="51">
        <f>IFERROR(VLOOKUP(B5,'[1]Venti Ana'!B$5:G$36,4,0),"")</f>
        <v>2.5454545454545459</v>
      </c>
    </row>
    <row r="6" spans="1:13" x14ac:dyDescent="0.3">
      <c r="A6" s="45">
        <v>25</v>
      </c>
      <c r="B6" s="1" t="s">
        <v>58</v>
      </c>
      <c r="C6" s="46">
        <v>220.19999999999987</v>
      </c>
      <c r="D6" s="46">
        <v>220.42555555555555</v>
      </c>
      <c r="E6" s="47">
        <f>IFERROR(VLOOKUP(B6,'[1]IWV aa'!B$5:C50,2,0),"")</f>
        <v>2.1542857142857152E-2</v>
      </c>
      <c r="F6" s="47">
        <f>IFERROR(VLOOKUP(B6,'[1]Circ Ana'!B$5:D$44,3,0),"")</f>
        <v>6.1314285714285696E-2</v>
      </c>
      <c r="G6" s="48">
        <f>IFERROR(VLOOKUP(B6,'[1]PDO Ana'!B$5:D$66,2,0),"")</f>
        <v>104</v>
      </c>
      <c r="H6" s="49">
        <f>IFERROR(VLOOKUP(B6,'[1]PDO Ana'!B$5:D$66,3,0),"")</f>
        <v>110.57142857142857</v>
      </c>
      <c r="I6" s="49">
        <f t="shared" si="0"/>
        <v>6.5714285714285694</v>
      </c>
      <c r="J6" s="49">
        <f>IFERROR(VLOOKUP(B6,'[1]PDO Ana'!B$5:E$66,4,0),"")</f>
        <v>5.2857142857142856</v>
      </c>
      <c r="K6" s="50" t="str">
        <f>IFERROR(VLOOKUP(B6,'[1]Venti Ana'!B$5:E40,2,0), "")</f>
        <v/>
      </c>
      <c r="L6" s="49" t="str">
        <f>IFERROR(VLOOKUP(B6,'[1]Venti Ana'!B$5:F$36,3,0),"")</f>
        <v/>
      </c>
      <c r="M6" s="51" t="str">
        <f>IFERROR(VLOOKUP(B6,'[1]Venti Ana'!B$5:G$36,4,0),"")</f>
        <v/>
      </c>
    </row>
    <row r="7" spans="1:13" x14ac:dyDescent="0.3">
      <c r="A7" s="45">
        <v>26</v>
      </c>
      <c r="B7" s="1" t="s">
        <v>50</v>
      </c>
      <c r="C7" s="46">
        <v>166.19999999999993</v>
      </c>
      <c r="D7" s="46">
        <v>166.8411111111111</v>
      </c>
      <c r="E7" s="47">
        <f>IFERROR(VLOOKUP(B7,'[1]IWV aa'!B$5:C51,2,0),"")</f>
        <v>1.507894736842106E-2</v>
      </c>
      <c r="F7" s="47">
        <f>IFERROR(VLOOKUP(B7,'[1]Circ Ana'!B$5:D$44,3,0),"")</f>
        <v>5.042105263157895E-2</v>
      </c>
      <c r="G7" s="48">
        <f>IFERROR(VLOOKUP(B7,'[1]PDO Ana'!B$5:D$66,2,0),"")</f>
        <v>170</v>
      </c>
      <c r="H7" s="49">
        <f>IFERROR(VLOOKUP(B7,'[1]PDO Ana'!B$5:D$66,3,0),"")</f>
        <v>172.86842105263159</v>
      </c>
      <c r="I7" s="49">
        <f t="shared" si="0"/>
        <v>2.8684210526315894</v>
      </c>
      <c r="J7" s="49">
        <f>IFERROR(VLOOKUP(B7,'[1]PDO Ana'!B$5:E$66,4,0),"")</f>
        <v>7.5</v>
      </c>
      <c r="K7" s="50">
        <f>IFERROR(VLOOKUP(B7,'[1]Venti Ana'!B$5:E41,2,0), "")</f>
        <v>35</v>
      </c>
      <c r="L7" s="49">
        <f>IFERROR(VLOOKUP(B7,'[1]Venti Ana'!B$5:F$36,3,0),"")</f>
        <v>35.404827586206892</v>
      </c>
      <c r="M7" s="49">
        <f>IFERROR(VLOOKUP(B7,'[1]Venti Ana'!B$5:G$36,4,0),"")</f>
        <v>2.1213793103448273</v>
      </c>
    </row>
    <row r="8" spans="1:13" x14ac:dyDescent="0.3">
      <c r="A8" s="45">
        <v>27</v>
      </c>
      <c r="B8" s="1" t="s">
        <v>60</v>
      </c>
      <c r="C8" s="46">
        <v>239.39999999999992</v>
      </c>
      <c r="D8" s="46">
        <v>239.5504</v>
      </c>
      <c r="E8" s="47">
        <f>IFERROR(VLOOKUP(B8,'[1]IWV aa'!B$5:C52,2,0),"")</f>
        <v>2.1275862068965527E-2</v>
      </c>
      <c r="F8" s="47">
        <f>IFERROR(VLOOKUP(B8,'[1]Circ Ana'!B$5:D$44,3,0),"")</f>
        <v>6.7862068965517247E-2</v>
      </c>
      <c r="G8" s="48" t="str">
        <f>IFERROR(VLOOKUP(B8,'[1]PDO Ana'!B$5:D$66,2,0),"")</f>
        <v/>
      </c>
      <c r="H8" s="49" t="str">
        <f>IFERROR(VLOOKUP(B8,'[1]PDO Ana'!B$5:D$66,3,0),"")</f>
        <v/>
      </c>
      <c r="I8" s="49" t="str">
        <f t="shared" si="0"/>
        <v/>
      </c>
      <c r="J8" s="49" t="str">
        <f>IFERROR(VLOOKUP(B8,'[1]PDO Ana'!B$5:E$66,4,0),"")</f>
        <v/>
      </c>
      <c r="K8" s="50" t="str">
        <f>IFERROR(VLOOKUP(B8,'[1]Venti Ana'!B$5:E42,2,0), "")</f>
        <v/>
      </c>
      <c r="L8" s="49" t="str">
        <f>IFERROR(VLOOKUP(B8,'[1]Venti Ana'!B$5:F$36,3,0),"")</f>
        <v/>
      </c>
      <c r="M8" s="49" t="str">
        <f>IFERROR(VLOOKUP(B8,'[1]Venti Ana'!B$5:G$36,4,0),"")</f>
        <v/>
      </c>
    </row>
    <row r="9" spans="1:13" x14ac:dyDescent="0.3">
      <c r="A9" s="45">
        <v>28</v>
      </c>
      <c r="B9" s="1" t="s">
        <v>56</v>
      </c>
      <c r="C9" s="46">
        <v>249</v>
      </c>
      <c r="D9" s="46">
        <v>249.32047619047617</v>
      </c>
      <c r="E9" s="47">
        <f>IFERROR(VLOOKUP(B9,'[1]IWV aa'!B$5:C53,2,0),"")</f>
        <v>2.0433333333333345E-2</v>
      </c>
      <c r="F9" s="47">
        <f>IFERROR(VLOOKUP(B9,'[1]Circ Ana'!B$5:D$44,3,0),"")</f>
        <v>5.3633333333333338E-2</v>
      </c>
      <c r="G9" s="48">
        <f>IFERROR(VLOOKUP(B9,'[1]PDO Ana'!B$5:D$66,2,0),"")</f>
        <v>110</v>
      </c>
      <c r="H9" s="49">
        <f>IFERROR(VLOOKUP(B9,'[1]PDO Ana'!B$5:D$66,3,0),"")</f>
        <v>118.5</v>
      </c>
      <c r="I9" s="49">
        <f t="shared" si="0"/>
        <v>8.5</v>
      </c>
      <c r="J9" s="49">
        <f>IFERROR(VLOOKUP(B9,'[1]PDO Ana'!B$5:E$66,4,0),"")</f>
        <v>6.2</v>
      </c>
      <c r="K9" s="50" t="str">
        <f>IFERROR(VLOOKUP(B9,'[1]Venti Ana'!B$5:E43,2,0), "")</f>
        <v/>
      </c>
      <c r="L9" s="49" t="str">
        <f>IFERROR(VLOOKUP(B9,'[1]Venti Ana'!B$5:F$36,3,0),"")</f>
        <v/>
      </c>
      <c r="M9" s="49" t="str">
        <f>IFERROR(VLOOKUP(B9,'[1]Venti Ana'!B$5:G$36,4,0),"")</f>
        <v/>
      </c>
    </row>
    <row r="10" spans="1:13" x14ac:dyDescent="0.3">
      <c r="A10" s="45">
        <v>33</v>
      </c>
      <c r="B10" s="1" t="s">
        <v>64</v>
      </c>
      <c r="C10" s="46">
        <v>249.89999999999989</v>
      </c>
      <c r="D10" s="46">
        <v>249.96333333333334</v>
      </c>
      <c r="E10" s="47">
        <f>IFERROR(VLOOKUP(B10,'[1]IWV aa'!B$5:C54,2,0),"")</f>
        <v>1.8694444444444454E-2</v>
      </c>
      <c r="F10" s="47">
        <f>IFERROR(VLOOKUP(B10,'[1]Circ Ana'!B$5:D$44,3,0),"")</f>
        <v>5.8055555555555555E-2</v>
      </c>
      <c r="G10" s="48">
        <f>IFERROR(VLOOKUP(B10,'[1]PDO Ana'!B$5:D$66,2,0),"")</f>
        <v>103</v>
      </c>
      <c r="H10" s="49">
        <f>IFERROR(VLOOKUP(B10,'[1]PDO Ana'!B$5:D$66,3,0),"")</f>
        <v>110.57142857142857</v>
      </c>
      <c r="I10" s="49">
        <f t="shared" si="0"/>
        <v>7.5714285714285694</v>
      </c>
      <c r="J10" s="49">
        <f>IFERROR(VLOOKUP(B10,'[1]PDO Ana'!B$5:E$66,4,0),"")</f>
        <v>5.1142857142857139</v>
      </c>
      <c r="K10" s="50" t="str">
        <f>IFERROR(VLOOKUP(B10,'[1]Venti Ana'!B$5:E44,2,0), "")</f>
        <v/>
      </c>
      <c r="L10" s="49" t="str">
        <f>IFERROR(VLOOKUP(B10,'[1]Venti Ana'!B$5:F$36,3,0),"")</f>
        <v/>
      </c>
      <c r="M10" s="49" t="str">
        <f>IFERROR(VLOOKUP(B10,'[1]Venti Ana'!B$5:G$36,4,0),"")</f>
        <v/>
      </c>
    </row>
    <row r="11" spans="1:13" x14ac:dyDescent="0.3">
      <c r="A11" s="45">
        <v>34</v>
      </c>
      <c r="B11" s="1" t="s">
        <v>71</v>
      </c>
      <c r="C11" s="46">
        <v>229.2</v>
      </c>
      <c r="D11" s="46">
        <v>248.45</v>
      </c>
      <c r="E11" s="47">
        <f>IFERROR(VLOOKUP(B11,'[1]IWV aa'!B$5:C55,2,0),"")</f>
        <v>1.5500000000000002E-2</v>
      </c>
      <c r="F11" s="47">
        <f>IFERROR(VLOOKUP(B11,'[1]Circ Ana'!B$5:D$44,3,0),"")</f>
        <v>5.4333333333333324E-2</v>
      </c>
      <c r="G11" s="48">
        <f>IFERROR(VLOOKUP(B11,'[1]PDO Ana'!B$5:D$66,2,0),"")</f>
        <v>109</v>
      </c>
      <c r="H11" s="49">
        <f>IFERROR(VLOOKUP(B11,'[1]PDO Ana'!B$5:D$66,3,0),"")</f>
        <v>112</v>
      </c>
      <c r="I11" s="49">
        <f t="shared" si="0"/>
        <v>3</v>
      </c>
      <c r="J11" s="49">
        <f>IFERROR(VLOOKUP(B11,'[1]PDO Ana'!B$5:E$66,4,0),"")</f>
        <v>3.1666666666666665</v>
      </c>
      <c r="K11" s="50" t="str">
        <f>IFERROR(VLOOKUP(B11,'[1]Venti Ana'!B$5:E45,2,0), "")</f>
        <v/>
      </c>
      <c r="L11" s="49" t="str">
        <f>IFERROR(VLOOKUP(B11,'[1]Venti Ana'!B$5:F$36,3,0),"")</f>
        <v/>
      </c>
      <c r="M11" s="49" t="str">
        <f>IFERROR(VLOOKUP(B11,'[1]Venti Ana'!B$5:G$36,4,0),"")</f>
        <v/>
      </c>
    </row>
    <row r="12" spans="1:13" x14ac:dyDescent="0.3">
      <c r="A12" s="45"/>
      <c r="B12" s="1" t="s">
        <v>78</v>
      </c>
      <c r="C12" s="46">
        <v>248</v>
      </c>
      <c r="D12" s="46">
        <v>249.05</v>
      </c>
      <c r="E12" s="47">
        <f>IFERROR(VLOOKUP(B12,'[1]IWV aa'!B$5:C56,2,0),"")</f>
        <v>2.375E-2</v>
      </c>
      <c r="F12" s="47">
        <f>IFERROR(VLOOKUP(B12,'[1]Circ Ana'!B$5:D$44,3,0),"")</f>
        <v>5.5750000000000008E-2</v>
      </c>
      <c r="G12" s="48">
        <f>IFERROR(VLOOKUP(B12,'[1]PDO Ana'!B$5:D$66,2,0),"")</f>
        <v>102</v>
      </c>
      <c r="H12" s="49">
        <f>IFERROR(VLOOKUP(B12,'[1]PDO Ana'!B$5:D$66,3,0),"")</f>
        <v>117.5</v>
      </c>
      <c r="I12" s="49">
        <f t="shared" si="0"/>
        <v>15.5</v>
      </c>
      <c r="J12" s="49">
        <f>IFERROR(VLOOKUP(B12,'[1]PDO Ana'!B$5:E$66,4,0),"")</f>
        <v>7</v>
      </c>
      <c r="K12" s="50" t="str">
        <f>IFERROR(VLOOKUP(B12,'[1]Venti Ana'!B$5:E46,2,0), "")</f>
        <v/>
      </c>
      <c r="L12" s="49" t="str">
        <f>IFERROR(VLOOKUP(B12,'[1]Venti Ana'!B$5:F$36,3,0),"")</f>
        <v/>
      </c>
      <c r="M12" s="49" t="str">
        <f>IFERROR(VLOOKUP(B12,'[1]Venti Ana'!B$5:G$36,4,0),"")</f>
        <v/>
      </c>
    </row>
    <row r="13" spans="1:13" x14ac:dyDescent="0.3">
      <c r="A13" s="45">
        <v>35</v>
      </c>
      <c r="B13" s="1" t="s">
        <v>62</v>
      </c>
      <c r="C13" s="46">
        <v>282.89999999999998</v>
      </c>
      <c r="D13" s="46">
        <v>283.33333333333331</v>
      </c>
      <c r="E13" s="47">
        <f>IFERROR(VLOOKUP(B13,'[1]IWV aa'!B$5:C57,2,0),"")</f>
        <v>1.8666666666666665E-2</v>
      </c>
      <c r="F13" s="47">
        <f>IFERROR(VLOOKUP(B13,'[1]Circ Ana'!B$5:D$44,3,0),"")</f>
        <v>6.5166666666666664E-2</v>
      </c>
      <c r="G13" s="48">
        <f>IFERROR(VLOOKUP(B13,'[1]PDO Ana'!B$5:D$66,2,0),"")</f>
        <v>109</v>
      </c>
      <c r="H13" s="49">
        <f>IFERROR(VLOOKUP(B13,'[1]PDO Ana'!B$5:D$66,3,0),"")</f>
        <v>119.33333333333333</v>
      </c>
      <c r="I13" s="49">
        <f t="shared" si="0"/>
        <v>10.333333333333329</v>
      </c>
      <c r="J13" s="49">
        <f>IFERROR(VLOOKUP(B13,'[1]PDO Ana'!B$5:E$66,4,0),"")</f>
        <v>3.6666666666666665</v>
      </c>
      <c r="K13" s="50">
        <f>IFERROR(VLOOKUP(B13,'[1]Venti Ana'!B$5:E47,2,0), "")</f>
        <v>12</v>
      </c>
      <c r="L13" s="49">
        <f>IFERROR(VLOOKUP(B13,'[1]Venti Ana'!B$5:F$36,3,0),"")</f>
        <v>11.413333333333332</v>
      </c>
      <c r="M13" s="49">
        <f>IFERROR(VLOOKUP(B13,'[1]Venti Ana'!B$5:G$36,4,0),"")</f>
        <v>1.2133333333333332</v>
      </c>
    </row>
    <row r="14" spans="1:13" x14ac:dyDescent="0.3">
      <c r="A14" s="45"/>
      <c r="B14" s="1" t="s">
        <v>73</v>
      </c>
      <c r="C14" s="46">
        <v>284.39999999999998</v>
      </c>
      <c r="D14" s="46">
        <v>282.98149999999998</v>
      </c>
      <c r="E14" s="47">
        <f>IFERROR(VLOOKUP(B14,'[1]IWV aa'!B$5:C58,2,0),"")</f>
        <v>2.1263157894736852E-2</v>
      </c>
      <c r="F14" s="47">
        <f>IFERROR(VLOOKUP(B14,'[1]Circ Ana'!B$5:D$44,3,0),"")</f>
        <v>5.6000000000000001E-2</v>
      </c>
      <c r="G14" s="48">
        <f>IFERROR(VLOOKUP(B14,'[1]PDO Ana'!B$5:D$66,2,0),"")</f>
        <v>109</v>
      </c>
      <c r="H14" s="49">
        <f>IFERROR(VLOOKUP(B14,'[1]PDO Ana'!B$5:D$66,3,0),"")</f>
        <v>122.26315789473684</v>
      </c>
      <c r="I14" s="49">
        <f t="shared" si="0"/>
        <v>13.263157894736835</v>
      </c>
      <c r="J14" s="49">
        <f>IFERROR(VLOOKUP(B14,'[1]PDO Ana'!B$5:E$66,4,0),"")</f>
        <v>4.5789473684210522</v>
      </c>
      <c r="K14" s="50">
        <f>IFERROR(VLOOKUP(B14,'[1]Venti Ana'!B$5:E48,2,0), "")</f>
        <v>12</v>
      </c>
      <c r="L14" s="49">
        <f>IFERROR(VLOOKUP(B14,'[1]Venti Ana'!B$5:F$36,3,0),"")</f>
        <v>11.86</v>
      </c>
      <c r="M14" s="49">
        <f>IFERROR(VLOOKUP(B14,'[1]Venti Ana'!B$5:G$36,4,0),"")</f>
        <v>1.3742105263157895</v>
      </c>
    </row>
    <row r="15" spans="1:13" x14ac:dyDescent="0.3">
      <c r="A15" s="45">
        <v>36</v>
      </c>
      <c r="B15" s="1" t="s">
        <v>72</v>
      </c>
      <c r="C15" s="46">
        <v>166.8</v>
      </c>
      <c r="D15" s="46">
        <v>166.86187500000003</v>
      </c>
      <c r="E15" s="47">
        <f>IFERROR(VLOOKUP(B15,'[1]IWV aa'!B$5:C59,2,0),"")</f>
        <v>2.2095238095238109E-2</v>
      </c>
      <c r="F15" s="47">
        <f>IFERROR(VLOOKUP(B15,'[1]Circ Ana'!B$5:D$44,3,0),"")</f>
        <v>7.2119047619047624E-2</v>
      </c>
      <c r="G15" s="48">
        <f>IFERROR(VLOOKUP(B15,'[1]PDO Ana'!B$5:D$66,2,0),"")</f>
        <v>170</v>
      </c>
      <c r="H15" s="49">
        <f>IFERROR(VLOOKUP(B15,'[1]PDO Ana'!B$5:D$66,3,0),"")</f>
        <v>175.35714285714286</v>
      </c>
      <c r="I15" s="49">
        <f t="shared" si="0"/>
        <v>5.3571428571428612</v>
      </c>
      <c r="J15" s="49">
        <f>IFERROR(VLOOKUP(B15,'[1]PDO Ana'!B$5:E$66,4,0),"")</f>
        <v>9.8809523809523814</v>
      </c>
      <c r="K15" s="50">
        <f>IFERROR(VLOOKUP(B15,'[1]Venti Ana'!B$5:E49,2,0), "")</f>
        <v>35</v>
      </c>
      <c r="L15" s="49">
        <f>IFERROR(VLOOKUP(B15,'[1]Venti Ana'!B$5:F$36,3,0),"")</f>
        <v>34.920000000000009</v>
      </c>
      <c r="M15" s="49">
        <f>IFERROR(VLOOKUP(B15,'[1]Venti Ana'!B$5:G$36,4,0),"")</f>
        <v>2.1169047619047618</v>
      </c>
    </row>
    <row r="16" spans="1:13" x14ac:dyDescent="0.3">
      <c r="A16" s="45">
        <v>37</v>
      </c>
      <c r="B16" s="1" t="s">
        <v>52</v>
      </c>
      <c r="C16" s="46">
        <v>277.80000000000007</v>
      </c>
      <c r="D16" s="46">
        <v>281.92636363636365</v>
      </c>
      <c r="E16" s="47">
        <f>IFERROR(VLOOKUP(B16,'[1]IWV aa'!B$5:C60,2,0),"")</f>
        <v>2.1533333333333342E-2</v>
      </c>
      <c r="F16" s="47">
        <f>IFERROR(VLOOKUP(B16,'[1]Circ Ana'!B$5:D$44,3,0),"")</f>
        <v>7.3033333333333325E-2</v>
      </c>
      <c r="G16" s="48">
        <f>IFERROR(VLOOKUP(B16,'[1]PDO Ana'!B$5:D$66,2,0),"")</f>
        <v>106</v>
      </c>
      <c r="H16" s="49">
        <f>IFERROR(VLOOKUP(B16,'[1]PDO Ana'!B$5:D$66,3,0),"")</f>
        <v>109.23333333333333</v>
      </c>
      <c r="I16" s="49">
        <f t="shared" si="0"/>
        <v>3.2333333333333343</v>
      </c>
      <c r="J16" s="49">
        <f>IFERROR(VLOOKUP(B16,'[1]PDO Ana'!B$5:E$66,4,0),"")</f>
        <v>3.2666666666666666</v>
      </c>
      <c r="K16" s="50">
        <f>IFERROR(VLOOKUP(B16,'[1]Venti Ana'!B$5:E50,2,0), "")</f>
        <v>24</v>
      </c>
      <c r="L16" s="49">
        <f>IFERROR(VLOOKUP(B16,'[1]Venti Ana'!B$5:F$36,3,0),"")</f>
        <v>20.937666666666665</v>
      </c>
      <c r="M16" s="49">
        <f>IFERROR(VLOOKUP(B16,'[1]Venti Ana'!B$5:G$36,4,0),"")</f>
        <v>1.5003333333333333</v>
      </c>
    </row>
    <row r="17" spans="1:13" x14ac:dyDescent="0.3">
      <c r="A17" s="45">
        <v>38</v>
      </c>
      <c r="B17" s="1" t="s">
        <v>52</v>
      </c>
      <c r="C17" s="46">
        <v>277.80000000000007</v>
      </c>
      <c r="D17" s="46">
        <v>277.87058823529412</v>
      </c>
      <c r="E17" s="47">
        <f>IFERROR(VLOOKUP(B17,'[1]IWV aa'!B$5:C61,2,0),"")</f>
        <v>2.1533333333333342E-2</v>
      </c>
      <c r="F17" s="47">
        <f>IFERROR(VLOOKUP(B17,'[1]Circ Ana'!B$5:D$44,3,0),"")</f>
        <v>7.3033333333333325E-2</v>
      </c>
      <c r="G17" s="48">
        <f>IFERROR(VLOOKUP(B17,'[1]PDO Ana'!B$5:D$66,2,0),"")</f>
        <v>106</v>
      </c>
      <c r="H17" s="49">
        <f>IFERROR(VLOOKUP(B17,'[1]PDO Ana'!B$5:D$66,3,0),"")</f>
        <v>109.23333333333333</v>
      </c>
      <c r="I17" s="49">
        <f t="shared" si="0"/>
        <v>3.2333333333333343</v>
      </c>
      <c r="J17" s="49">
        <f>IFERROR(VLOOKUP(B17,'[1]PDO Ana'!B$5:E$66,4,0),"")</f>
        <v>3.2666666666666666</v>
      </c>
      <c r="K17" s="50">
        <f>IFERROR(VLOOKUP(B17,'[1]Venti Ana'!B$5:E51,2,0), "")</f>
        <v>24</v>
      </c>
      <c r="L17" s="49">
        <f>IFERROR(VLOOKUP(B17,'[1]Venti Ana'!B$5:F$36,3,0),"")</f>
        <v>20.937666666666665</v>
      </c>
      <c r="M17" s="49">
        <f>IFERROR(VLOOKUP(B17,'[1]Venti Ana'!B$5:G$36,4,0),"")</f>
        <v>1.5003333333333333</v>
      </c>
    </row>
    <row r="18" spans="1:13" x14ac:dyDescent="0.3">
      <c r="A18" s="45"/>
      <c r="B18" s="1" t="s">
        <v>76</v>
      </c>
      <c r="C18" s="46">
        <v>289.8</v>
      </c>
      <c r="D18" s="46">
        <v>291</v>
      </c>
      <c r="E18" s="47">
        <f>IFERROR(VLOOKUP(B18,'[1]IWV aa'!B$5:C62,2,0),"")</f>
        <v>2.0333333333333332E-2</v>
      </c>
      <c r="F18" s="47">
        <f>IFERROR(VLOOKUP(B18,'[1]Circ Ana'!B$5:D$44,3,0),"")</f>
        <v>4.6499999999999993E-2</v>
      </c>
      <c r="G18" s="48">
        <f>IFERROR(VLOOKUP(B18,'[1]PDO Ana'!B$5:D$66,2,0),"")</f>
        <v>105</v>
      </c>
      <c r="H18" s="49">
        <f>IFERROR(VLOOKUP(B18,'[1]PDO Ana'!B$5:D$66,3,0),"")</f>
        <v>121</v>
      </c>
      <c r="I18" s="49">
        <f t="shared" si="0"/>
        <v>16</v>
      </c>
      <c r="J18" s="49">
        <f>IFERROR(VLOOKUP(B18,'[1]PDO Ana'!B$5:E$66,4,0),"")</f>
        <v>3.8333333333333335</v>
      </c>
      <c r="K18" s="50">
        <f>IFERROR(VLOOKUP(B18,'[1]Venti Ana'!B$5:E52,2,0), "")</f>
        <v>12</v>
      </c>
      <c r="L18" s="49">
        <f>IFERROR(VLOOKUP(B18,'[1]Venti Ana'!B$5:F$36,3,0),"")</f>
        <v>13.13833333333333</v>
      </c>
      <c r="M18" s="49">
        <f>IFERROR(VLOOKUP(B18,'[1]Venti Ana'!B$5:G$36,4,0),"")</f>
        <v>1.2550000000000001</v>
      </c>
    </row>
    <row r="19" spans="1:13" x14ac:dyDescent="0.3">
      <c r="A19" s="45">
        <v>16</v>
      </c>
      <c r="B19" s="1" t="s">
        <v>74</v>
      </c>
      <c r="C19" s="46">
        <v>269.76</v>
      </c>
      <c r="D19" s="46">
        <v>165.50333333333333</v>
      </c>
      <c r="E19" s="47" t="str">
        <f>IFERROR(VLOOKUP(B19,'[1]IWV aa'!B$5:C63,2,0),"")</f>
        <v/>
      </c>
      <c r="F19" s="47" t="str">
        <f>IFERROR(VLOOKUP(B19,'[1]Circ Ana'!B$5:D$44,3,0),"")</f>
        <v/>
      </c>
      <c r="G19" s="48" t="str">
        <f>IFERROR(VLOOKUP(B19,'[1]PDO Ana'!B$5:D$66,2,0),"")</f>
        <v/>
      </c>
      <c r="H19" s="49" t="str">
        <f>IFERROR(VLOOKUP(B19,'[1]PDO Ana'!B$5:D$66,3,0),"")</f>
        <v/>
      </c>
      <c r="I19" s="49" t="str">
        <f t="shared" si="0"/>
        <v/>
      </c>
      <c r="J19" s="49" t="str">
        <f>IFERROR(VLOOKUP(B19,'[1]PDO Ana'!B$5:E$66,4,0),"")</f>
        <v/>
      </c>
      <c r="K19" s="50" t="str">
        <f>IFERROR(VLOOKUP(B19,'[1]Venti Ana'!B$5:E53,2,0), "")</f>
        <v/>
      </c>
      <c r="L19" s="49" t="str">
        <f>IFERROR(VLOOKUP(B19,'[1]Venti Ana'!B$5:F$36,3,0),"")</f>
        <v/>
      </c>
      <c r="M19" s="49" t="str">
        <f>IFERROR(VLOOKUP(B19,'[1]Venti Ana'!B$5:G$36,4,0),"")</f>
        <v/>
      </c>
    </row>
    <row r="20" spans="1:13" x14ac:dyDescent="0.3">
      <c r="A20" s="45">
        <v>24</v>
      </c>
      <c r="B20" s="1" t="s">
        <v>56</v>
      </c>
      <c r="C20" s="46">
        <v>249</v>
      </c>
      <c r="D20" s="46">
        <v>249.26551724137931</v>
      </c>
      <c r="E20" s="47">
        <f>IFERROR(VLOOKUP(B20,'[1]IWV aa'!B$5:C64,2,0),"")</f>
        <v>2.0433333333333345E-2</v>
      </c>
      <c r="F20" s="47">
        <f>IFERROR(VLOOKUP(B20,'[1]Circ Ana'!B$5:D$44,3,0),"")</f>
        <v>5.3633333333333338E-2</v>
      </c>
      <c r="G20" s="48">
        <f>IFERROR(VLOOKUP(B20,'[1]PDO Ana'!B$5:D$66,2,0),"")</f>
        <v>110</v>
      </c>
      <c r="H20" s="49">
        <f>IFERROR(VLOOKUP(B20,'[1]PDO Ana'!B$5:D$66,3,0),"")</f>
        <v>118.5</v>
      </c>
      <c r="I20" s="49">
        <f t="shared" si="0"/>
        <v>8.5</v>
      </c>
      <c r="J20" s="49">
        <f>IFERROR(VLOOKUP(B20,'[1]PDO Ana'!B$5:E$66,4,0),"")</f>
        <v>6.2</v>
      </c>
      <c r="K20" s="50" t="str">
        <f>IFERROR(VLOOKUP(B20,'[1]Venti Ana'!B$5:E54,2,0), "")</f>
        <v/>
      </c>
      <c r="L20" s="49" t="str">
        <f>IFERROR(VLOOKUP(B20,'[1]Venti Ana'!B$5:F$36,3,0),"")</f>
        <v/>
      </c>
      <c r="M20" s="49" t="str">
        <f>IFERROR(VLOOKUP(B20,'[1]Venti Ana'!B$5:G$36,4,0),"")</f>
        <v/>
      </c>
    </row>
    <row r="21" spans="1:13" x14ac:dyDescent="0.3">
      <c r="A21" s="45">
        <v>9</v>
      </c>
      <c r="B21" s="1" t="s">
        <v>50</v>
      </c>
      <c r="C21" s="46">
        <v>166.2</v>
      </c>
      <c r="D21" s="46">
        <v>166.66800000000003</v>
      </c>
      <c r="E21" s="47">
        <f>IFERROR(VLOOKUP(B21,'[1]IWV aa'!B$5:C65,2,0),"")</f>
        <v>1.507894736842106E-2</v>
      </c>
      <c r="F21" s="47">
        <f>IFERROR(VLOOKUP(B21,'[1]Circ Ana'!B$5:D$44,3,0),"")</f>
        <v>5.042105263157895E-2</v>
      </c>
      <c r="G21" s="48">
        <f>IFERROR(VLOOKUP(B21,'[1]PDO Ana'!B$5:D$66,2,0),"")</f>
        <v>170</v>
      </c>
      <c r="H21" s="49">
        <f>IFERROR(VLOOKUP(B21,'[1]PDO Ana'!B$5:D$66,3,0),"")</f>
        <v>172.86842105263159</v>
      </c>
      <c r="I21" s="49">
        <f t="shared" si="0"/>
        <v>2.8684210526315894</v>
      </c>
      <c r="J21" s="49">
        <f>IFERROR(VLOOKUP(B21,'[1]PDO Ana'!B$5:E$66,4,0),"")</f>
        <v>7.5</v>
      </c>
      <c r="K21" s="50">
        <f>IFERROR(VLOOKUP(B21,'[1]Venti Ana'!B$5:E55,2,0), "")</f>
        <v>35</v>
      </c>
      <c r="L21" s="49">
        <f>IFERROR(VLOOKUP(B21,'[1]Venti Ana'!B$5:F$36,3,0),"")</f>
        <v>35.404827586206892</v>
      </c>
      <c r="M21" s="49">
        <f>IFERROR(VLOOKUP(B21,'[1]Venti Ana'!B$5:G$36,4,0),"")</f>
        <v>2.1213793103448273</v>
      </c>
    </row>
  </sheetData>
  <conditionalFormatting sqref="E3:E21">
    <cfRule type="cellIs" dxfId="4" priority="8" operator="greaterThan">
      <formula>0.021</formula>
    </cfRule>
  </conditionalFormatting>
  <conditionalFormatting sqref="E2:F2">
    <cfRule type="cellIs" dxfId="3" priority="7" operator="greaterThan">
      <formula>0.021</formula>
    </cfRule>
  </conditionalFormatting>
  <conditionalFormatting sqref="F2:F21">
    <cfRule type="cellIs" dxfId="2" priority="1" operator="greaterThan">
      <formula>0.08</formula>
    </cfRule>
  </conditionalFormatting>
  <conditionalFormatting sqref="I2:J21">
    <cfRule type="cellIs" dxfId="1" priority="2" operator="greaterThan">
      <formula>10</formula>
    </cfRule>
  </conditionalFormatting>
  <conditionalFormatting sqref="M2:M21">
    <cfRule type="cellIs" dxfId="0" priority="3" operator="greaterThan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MC</vt:lpstr>
      <vt:lpstr>MC ana</vt:lpstr>
      <vt:lpstr>Grp weight</vt:lpstr>
      <vt:lpstr>Grp weight ana</vt:lpstr>
      <vt:lpstr>IWV</vt:lpstr>
      <vt:lpstr>IWV ana</vt:lpstr>
      <vt:lpstr>Circumference</vt:lpstr>
      <vt:lpstr>Circ ana</vt:lpstr>
      <vt:lpstr>Ventilation</vt:lpstr>
      <vt:lpstr>Vent ana</vt:lpstr>
      <vt:lpstr>PDO</vt:lpstr>
      <vt:lpstr>PDO ana</vt:lpstr>
      <vt:lpstr>CPST</vt:lpstr>
      <vt:lpstr>CPST ana</vt:lpstr>
      <vt:lpstr>firmness</vt:lpstr>
      <vt:lpstr>firmness ana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S</dc:creator>
  <cp:lastModifiedBy>Internship</cp:lastModifiedBy>
  <dcterms:created xsi:type="dcterms:W3CDTF">2026-02-11T06:01:51Z</dcterms:created>
  <dcterms:modified xsi:type="dcterms:W3CDTF">2026-02-25T11:07:57Z</dcterms:modified>
</cp:coreProperties>
</file>