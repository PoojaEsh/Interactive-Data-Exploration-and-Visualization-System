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rnship\Desktop\"/>
    </mc:Choice>
  </mc:AlternateContent>
  <xr:revisionPtr revIDLastSave="0" documentId="8_{12D47F7E-69E4-4E04-9B3C-D633EDB315D2}" xr6:coauthVersionLast="47" xr6:coauthVersionMax="47" xr10:uidLastSave="{00000000-0000-0000-0000-000000000000}"/>
  <bookViews>
    <workbookView xWindow="-108" yWindow="-108" windowWidth="23256" windowHeight="12456" xr2:uid="{5FAED2BF-5638-4A28-8959-9BB0733FE8F8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0" i="1" l="1"/>
  <c r="L20" i="1"/>
  <c r="K20" i="1"/>
  <c r="J20" i="1"/>
  <c r="H20" i="1"/>
  <c r="G20" i="1"/>
  <c r="I20" i="1" s="1"/>
  <c r="F20" i="1"/>
  <c r="E20" i="1"/>
  <c r="M19" i="1"/>
  <c r="L19" i="1"/>
  <c r="K19" i="1"/>
  <c r="J19" i="1"/>
  <c r="H19" i="1"/>
  <c r="I19" i="1" s="1"/>
  <c r="G19" i="1"/>
  <c r="F19" i="1"/>
  <c r="E19" i="1"/>
  <c r="M18" i="1"/>
  <c r="L18" i="1"/>
  <c r="K18" i="1"/>
  <c r="J18" i="1"/>
  <c r="H18" i="1"/>
  <c r="G18" i="1"/>
  <c r="I18" i="1" s="1"/>
  <c r="F18" i="1"/>
  <c r="E18" i="1"/>
  <c r="M17" i="1"/>
  <c r="L17" i="1"/>
  <c r="K17" i="1"/>
  <c r="J17" i="1"/>
  <c r="H17" i="1"/>
  <c r="G17" i="1"/>
  <c r="I17" i="1" s="1"/>
  <c r="F17" i="1"/>
  <c r="E17" i="1"/>
  <c r="M16" i="1"/>
  <c r="L16" i="1"/>
  <c r="K16" i="1"/>
  <c r="J16" i="1"/>
  <c r="H16" i="1"/>
  <c r="G16" i="1"/>
  <c r="I16" i="1" s="1"/>
  <c r="F16" i="1"/>
  <c r="E16" i="1"/>
  <c r="M15" i="1"/>
  <c r="L15" i="1"/>
  <c r="K15" i="1"/>
  <c r="J15" i="1"/>
  <c r="H15" i="1"/>
  <c r="I15" i="1" s="1"/>
  <c r="G15" i="1"/>
  <c r="F15" i="1"/>
  <c r="E15" i="1"/>
  <c r="M14" i="1"/>
  <c r="L14" i="1"/>
  <c r="K14" i="1"/>
  <c r="J14" i="1"/>
  <c r="H14" i="1"/>
  <c r="G14" i="1"/>
  <c r="I14" i="1" s="1"/>
  <c r="F14" i="1"/>
  <c r="E14" i="1"/>
  <c r="M13" i="1"/>
  <c r="L13" i="1"/>
  <c r="K13" i="1"/>
  <c r="J13" i="1"/>
  <c r="H13" i="1"/>
  <c r="G13" i="1"/>
  <c r="I13" i="1" s="1"/>
  <c r="F13" i="1"/>
  <c r="E13" i="1"/>
  <c r="M12" i="1"/>
  <c r="L12" i="1"/>
  <c r="K12" i="1"/>
  <c r="J12" i="1"/>
  <c r="H12" i="1"/>
  <c r="G12" i="1"/>
  <c r="I12" i="1" s="1"/>
  <c r="F12" i="1"/>
  <c r="E12" i="1"/>
  <c r="M11" i="1"/>
  <c r="L11" i="1"/>
  <c r="K11" i="1"/>
  <c r="J11" i="1"/>
  <c r="H11" i="1"/>
  <c r="I11" i="1" s="1"/>
  <c r="G11" i="1"/>
  <c r="F11" i="1"/>
  <c r="E11" i="1"/>
  <c r="M10" i="1"/>
  <c r="L10" i="1"/>
  <c r="K10" i="1"/>
  <c r="J10" i="1"/>
  <c r="H10" i="1"/>
  <c r="G10" i="1"/>
  <c r="I10" i="1" s="1"/>
  <c r="F10" i="1"/>
  <c r="E10" i="1"/>
  <c r="M9" i="1"/>
  <c r="L9" i="1"/>
  <c r="K9" i="1"/>
  <c r="J9" i="1"/>
  <c r="H9" i="1"/>
  <c r="G9" i="1"/>
  <c r="I9" i="1" s="1"/>
  <c r="F9" i="1"/>
  <c r="E9" i="1"/>
  <c r="M8" i="1"/>
  <c r="L8" i="1"/>
  <c r="K8" i="1"/>
  <c r="J8" i="1"/>
  <c r="I8" i="1"/>
  <c r="H8" i="1"/>
  <c r="G8" i="1"/>
  <c r="F8" i="1"/>
  <c r="E8" i="1"/>
  <c r="M7" i="1"/>
  <c r="L7" i="1"/>
  <c r="K7" i="1"/>
  <c r="J7" i="1"/>
  <c r="H7" i="1"/>
  <c r="G7" i="1"/>
  <c r="I7" i="1" s="1"/>
  <c r="F7" i="1"/>
  <c r="E7" i="1"/>
  <c r="M6" i="1"/>
  <c r="L6" i="1"/>
  <c r="K6" i="1"/>
  <c r="J6" i="1"/>
  <c r="H6" i="1"/>
  <c r="G6" i="1"/>
  <c r="I6" i="1" s="1"/>
  <c r="F6" i="1"/>
  <c r="E6" i="1"/>
  <c r="M5" i="1"/>
  <c r="L5" i="1"/>
  <c r="K5" i="1"/>
  <c r="J5" i="1"/>
  <c r="H5" i="1"/>
  <c r="G5" i="1"/>
  <c r="I5" i="1" s="1"/>
  <c r="F5" i="1"/>
  <c r="E5" i="1"/>
  <c r="M4" i="1"/>
  <c r="L4" i="1"/>
  <c r="K4" i="1"/>
  <c r="J4" i="1"/>
  <c r="I4" i="1"/>
  <c r="H4" i="1"/>
  <c r="G4" i="1"/>
  <c r="F4" i="1"/>
  <c r="E4" i="1"/>
  <c r="M3" i="1"/>
  <c r="L3" i="1"/>
  <c r="K3" i="1"/>
  <c r="J3" i="1"/>
  <c r="H3" i="1"/>
  <c r="G3" i="1"/>
  <c r="I3" i="1" s="1"/>
  <c r="F3" i="1"/>
  <c r="E3" i="1"/>
  <c r="M2" i="1"/>
  <c r="L2" i="1"/>
  <c r="K2" i="1"/>
  <c r="J2" i="1"/>
  <c r="H2" i="1"/>
  <c r="G2" i="1"/>
  <c r="I2" i="1" s="1"/>
  <c r="F2" i="1"/>
  <c r="E2" i="1"/>
</calcChain>
</file>

<file path=xl/sharedStrings.xml><?xml version="1.0" encoding="utf-8"?>
<sst xmlns="http://schemas.openxmlformats.org/spreadsheetml/2006/main" count="32" uniqueCount="29">
  <si>
    <t>M/c No</t>
  </si>
  <si>
    <t>Cig Name</t>
  </si>
  <si>
    <t>Grp wt TGT</t>
  </si>
  <si>
    <t>Grp wt</t>
  </si>
  <si>
    <t>IWV SD</t>
  </si>
  <si>
    <t>Circ SD</t>
  </si>
  <si>
    <t>PDO TGT</t>
  </si>
  <si>
    <t>Act PDO</t>
  </si>
  <si>
    <t>Diff</t>
  </si>
  <si>
    <t>PDO SD</t>
  </si>
  <si>
    <t>Venti Tgt</t>
  </si>
  <si>
    <t xml:space="preserve"> Venti Mean</t>
  </si>
  <si>
    <t>Venti SD</t>
  </si>
  <si>
    <t>CLIBCFTK27-CIG</t>
  </si>
  <si>
    <t>CLBLFTK27-CIG  </t>
  </si>
  <si>
    <t>GFSC2PFTK27-CIG</t>
  </si>
  <si>
    <t>FLSPLFT15-CIG  </t>
  </si>
  <si>
    <t>CLCNTFTK27-CIG</t>
  </si>
  <si>
    <t>NCDLXFFT15-CIG</t>
  </si>
  <si>
    <t>GFPMDFFT2-CIG  </t>
  </si>
  <si>
    <t>GFINMFT20-CIG  </t>
  </si>
  <si>
    <t>NCDLXNPCT15-CIG</t>
  </si>
  <si>
    <t>GFLMDPFFT2-CIG</t>
  </si>
  <si>
    <t>GFRFFMC27-CIG  </t>
  </si>
  <si>
    <t>GFRFFNPFTK27CIG</t>
  </si>
  <si>
    <t>ACMNZFTK27-CIG</t>
  </si>
  <si>
    <t>CLBDFFCFTK27CIG</t>
  </si>
  <si>
    <t>CLRTFFCFTK27CIG</t>
  </si>
  <si>
    <t>BHBOFTL20-CIG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</si>
</sst>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132705/Downloads/Copy%20of%20QCP%20trend%20-%20Apr'25%20to%20Mar'26%20-%20Copy.xlsx" TargetMode="External"/><Relationship Id="rId1" Type="http://schemas.openxmlformats.org/officeDocument/2006/relationships/externalLinkPath" Target="/Users/132705/Downloads/Copy%20of%20QCP%20trend%20-%20Apr'25%20to%20Mar'26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Unit plan Q feedback"/>
      <sheetName val="Sheet1"/>
      <sheetName val="Sweetner loading"/>
      <sheetName val="Capsule colors"/>
      <sheetName val="VAS classifier"/>
      <sheetName val="Samples"/>
      <sheetName val="Sample plan"/>
      <sheetName val="Stack heater"/>
      <sheetName val="Sheet2"/>
      <sheetName val="KLD SP"/>
      <sheetName val="MC Ana"/>
      <sheetName val="Oven MC"/>
      <sheetName val="GRP Ana"/>
      <sheetName val="Grp WT"/>
      <sheetName val="IWV aa"/>
      <sheetName val="IWV"/>
      <sheetName val="Circ Ana"/>
      <sheetName val="Circ"/>
      <sheetName val="Venti Ana"/>
      <sheetName val="Venti"/>
      <sheetName val="PDO Ana"/>
      <sheetName val="PDO"/>
      <sheetName val="CPST Ana"/>
      <sheetName val="CPST"/>
      <sheetName val="Firm Ana"/>
      <sheetName val="Firm"/>
      <sheetName val="Cons"/>
      <sheetName val="LS"/>
      <sheetName val="SLims M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5">
          <cell r="B5" t="str">
            <v>CLCNTFTK27-CIG</v>
          </cell>
          <cell r="C5">
            <v>1.507894736842106E-2</v>
          </cell>
        </row>
        <row r="6">
          <cell r="B6" t="str">
            <v>CLIBCFTK27-CIG</v>
          </cell>
          <cell r="C6">
            <v>2.1823529411764714E-2</v>
          </cell>
        </row>
        <row r="7">
          <cell r="B7" t="str">
            <v>CLCNTFTK27-CIG</v>
          </cell>
          <cell r="C7">
            <v>1.9090909090909103E-2</v>
          </cell>
        </row>
        <row r="8">
          <cell r="B8" t="str">
            <v>CLBLFTK27-CIG  </v>
          </cell>
          <cell r="C8">
            <v>4.3499999999999997E-2</v>
          </cell>
        </row>
        <row r="9">
          <cell r="B9" t="str">
            <v>GFSC2PFTK27-CIG</v>
          </cell>
          <cell r="C9">
            <v>1.8484848484848493E-2</v>
          </cell>
        </row>
        <row r="10">
          <cell r="B10" t="str">
            <v>CLCLVBFTK20-CIG</v>
          </cell>
          <cell r="C10">
            <v>3.4928571428571434E-2</v>
          </cell>
        </row>
        <row r="11">
          <cell r="B11" t="str">
            <v>GFPMDFFT2-CIG  </v>
          </cell>
          <cell r="C11">
            <v>2.0433333333333345E-2</v>
          </cell>
        </row>
        <row r="12">
          <cell r="B12" t="str">
            <v>FLSPLFT15-CIG  </v>
          </cell>
          <cell r="C12">
            <v>2.1542857142857152E-2</v>
          </cell>
        </row>
        <row r="13">
          <cell r="B13" t="str">
            <v>CLCNTFTK27-CIG</v>
          </cell>
          <cell r="C13">
            <v>1.479310344827587E-2</v>
          </cell>
        </row>
        <row r="14">
          <cell r="B14" t="str">
            <v>NCDLXFFT15-CIG</v>
          </cell>
          <cell r="C14">
            <v>2.1275862068965527E-2</v>
          </cell>
        </row>
        <row r="15">
          <cell r="B15" t="str">
            <v>GFPMDFFT2-CIG  </v>
          </cell>
          <cell r="C15">
            <v>2.7424242424242434E-2</v>
          </cell>
        </row>
        <row r="16">
          <cell r="B16" t="str">
            <v>CACLNBFT20-CIG</v>
          </cell>
          <cell r="C16">
            <v>3.9375E-2</v>
          </cell>
        </row>
        <row r="17">
          <cell r="B17" t="str">
            <v>BRCLVFT20-CIG  </v>
          </cell>
          <cell r="C17">
            <v>4.2249999999999996E-2</v>
          </cell>
        </row>
        <row r="18">
          <cell r="B18" t="str">
            <v>GFINMFT20-CIG  </v>
          </cell>
          <cell r="C18">
            <v>1.8694444444444454E-2</v>
          </cell>
        </row>
        <row r="19">
          <cell r="B19" t="str">
            <v>GFLMDPFFT2-CIG</v>
          </cell>
          <cell r="C19">
            <v>2.375E-2</v>
          </cell>
        </row>
        <row r="20">
          <cell r="B20" t="str">
            <v>NCDLXNPCT15-CIG</v>
          </cell>
          <cell r="C20">
            <v>1.5500000000000002E-2</v>
          </cell>
        </row>
        <row r="21">
          <cell r="B21" t="str">
            <v>GFRFFMC27-CIG  </v>
          </cell>
          <cell r="C21">
            <v>1.8666666666666665E-2</v>
          </cell>
        </row>
        <row r="22">
          <cell r="B22" t="str">
            <v>GFRFFNPFTK27CIG</v>
          </cell>
          <cell r="C22">
            <v>2.1263157894736852E-2</v>
          </cell>
        </row>
        <row r="23">
          <cell r="B23" t="str">
            <v>ACMNZFTK27-CIG</v>
          </cell>
          <cell r="C23">
            <v>2.2095238095238109E-2</v>
          </cell>
        </row>
        <row r="24">
          <cell r="B24" t="str">
            <v>CLBDFFCFTK27CIG</v>
          </cell>
          <cell r="C24">
            <v>2.1533333333333342E-2</v>
          </cell>
        </row>
        <row r="25">
          <cell r="B25" t="str">
            <v>CLBDFFCFTK27CIG</v>
          </cell>
          <cell r="C25">
            <v>1.8130434782608701E-2</v>
          </cell>
        </row>
        <row r="26">
          <cell r="B26" t="str">
            <v>CLRTFFCFTK27CIG</v>
          </cell>
          <cell r="C26">
            <v>2.0333333333333332E-2</v>
          </cell>
        </row>
        <row r="27">
          <cell r="C27">
            <v>2.1357999999999957E-2</v>
          </cell>
        </row>
      </sheetData>
      <sheetData sheetId="15" refreshError="1"/>
      <sheetData sheetId="16" refreshError="1">
        <row r="5">
          <cell r="B5" t="str">
            <v>Cig Name</v>
          </cell>
          <cell r="C5" t="str">
            <v>Average of Act Circ</v>
          </cell>
          <cell r="D5" t="str">
            <v>Average of SD</v>
          </cell>
        </row>
        <row r="6">
          <cell r="B6" t="str">
            <v>CLCNTFTK27-CIG</v>
          </cell>
          <cell r="C6">
            <v>16.93797368421053</v>
          </cell>
          <cell r="D6">
            <v>5.042105263157895E-2</v>
          </cell>
        </row>
        <row r="7">
          <cell r="B7" t="str">
            <v>CLIBCFTK27-CIG</v>
          </cell>
          <cell r="C7">
            <v>24.489235294117648</v>
          </cell>
          <cell r="D7">
            <v>5.0558823529411753E-2</v>
          </cell>
        </row>
        <row r="8">
          <cell r="B8" t="str">
            <v>CLBLFTK27-CIG  </v>
          </cell>
          <cell r="C8">
            <v>24.727250000000002</v>
          </cell>
          <cell r="D8">
            <v>6.7250000000000004E-2</v>
          </cell>
        </row>
        <row r="9">
          <cell r="B9" t="str">
            <v>GFSC2PFTK27-CIG</v>
          </cell>
          <cell r="C9">
            <v>16.919909090909087</v>
          </cell>
          <cell r="D9">
            <v>7.8575757575757577E-2</v>
          </cell>
        </row>
        <row r="10">
          <cell r="B10" t="str">
            <v>CLCLVBFTK20-CIG</v>
          </cell>
          <cell r="C10">
            <v>24.524857142857144</v>
          </cell>
          <cell r="D10">
            <v>9.3571428571428555E-2</v>
          </cell>
        </row>
        <row r="11">
          <cell r="B11" t="str">
            <v>GFPMDFFT2-CIG  </v>
          </cell>
          <cell r="C11">
            <v>24.493233333333333</v>
          </cell>
          <cell r="D11">
            <v>5.3633333333333338E-2</v>
          </cell>
        </row>
        <row r="12">
          <cell r="B12" t="str">
            <v>FLSPLFT15-CIG  </v>
          </cell>
          <cell r="C12">
            <v>24.523571428571426</v>
          </cell>
          <cell r="D12">
            <v>6.1314285714285696E-2</v>
          </cell>
        </row>
        <row r="13">
          <cell r="B13" t="str">
            <v>CLCNTFTK27-CIG</v>
          </cell>
          <cell r="C13">
            <v>16.954620689655172</v>
          </cell>
          <cell r="D13">
            <v>6.1241379310344804E-2</v>
          </cell>
        </row>
        <row r="14">
          <cell r="B14" t="str">
            <v>NCDLXFFT15-CIG</v>
          </cell>
          <cell r="C14">
            <v>24.513931034482756</v>
          </cell>
          <cell r="D14">
            <v>6.7862068965517247E-2</v>
          </cell>
        </row>
        <row r="15">
          <cell r="B15" t="str">
            <v>GFPMDFFT2-CIG  </v>
          </cell>
          <cell r="C15">
            <v>24.505636363636366</v>
          </cell>
          <cell r="D15">
            <v>5.1242424242424235E-2</v>
          </cell>
        </row>
        <row r="16">
          <cell r="B16" t="str">
            <v>CACLNBFT20-CIG</v>
          </cell>
          <cell r="C16">
            <v>24.557375</v>
          </cell>
          <cell r="D16">
            <v>8.8249999999999995E-2</v>
          </cell>
        </row>
        <row r="17">
          <cell r="B17" t="str">
            <v>BRCLVFT20-CIG  </v>
          </cell>
          <cell r="C17">
            <v>24.420125000000006</v>
          </cell>
          <cell r="D17">
            <v>0.108625</v>
          </cell>
        </row>
        <row r="18">
          <cell r="B18" t="str">
            <v>GFINMFT20-CIG  </v>
          </cell>
          <cell r="C18">
            <v>24.501833333333337</v>
          </cell>
          <cell r="D18">
            <v>5.8055555555555555E-2</v>
          </cell>
        </row>
        <row r="19">
          <cell r="B19" t="str">
            <v>GFLMDPFFT2-CIG</v>
          </cell>
          <cell r="C19">
            <v>24.546250000000001</v>
          </cell>
          <cell r="D19">
            <v>5.5750000000000008E-2</v>
          </cell>
        </row>
        <row r="20">
          <cell r="B20" t="str">
            <v>NCDLXNPCT15-CIG</v>
          </cell>
          <cell r="C20">
            <v>24.531499999999998</v>
          </cell>
          <cell r="D20">
            <v>5.4333333333333324E-2</v>
          </cell>
        </row>
        <row r="21">
          <cell r="B21" t="str">
            <v>GFRFFMC27-CIG  </v>
          </cell>
          <cell r="C21">
            <v>24.471166666666665</v>
          </cell>
          <cell r="D21">
            <v>6.5166666666666664E-2</v>
          </cell>
        </row>
        <row r="22">
          <cell r="B22" t="str">
            <v>GFRFFNPFTK27CIG</v>
          </cell>
          <cell r="C22">
            <v>24.520999999999994</v>
          </cell>
          <cell r="D22">
            <v>5.6000000000000001E-2</v>
          </cell>
        </row>
        <row r="23">
          <cell r="B23" t="str">
            <v>ACMNZFTK27-CIG</v>
          </cell>
          <cell r="C23">
            <v>16.934476190476193</v>
          </cell>
          <cell r="D23">
            <v>7.2119047619047624E-2</v>
          </cell>
        </row>
        <row r="24">
          <cell r="B24" t="str">
            <v>CLBDFFCFTK27CIG</v>
          </cell>
          <cell r="C24">
            <v>24.523866666666667</v>
          </cell>
          <cell r="D24">
            <v>7.3033333333333325E-2</v>
          </cell>
        </row>
        <row r="25">
          <cell r="B25" t="str">
            <v>CLBDFFCFTK27CIG</v>
          </cell>
          <cell r="C25">
            <v>24.481999999999999</v>
          </cell>
          <cell r="D25">
            <v>4.1869565217391318E-2</v>
          </cell>
        </row>
        <row r="26">
          <cell r="B26" t="str">
            <v>CLRTFFCFTK27CIG</v>
          </cell>
          <cell r="C26">
            <v>24.576499999999999</v>
          </cell>
          <cell r="D26">
            <v>4.6499999999999993E-2</v>
          </cell>
        </row>
        <row r="27">
          <cell r="B27" t="str">
            <v>CLCNTFTK27-CIG</v>
          </cell>
          <cell r="C27">
            <v>16.909606060606055</v>
          </cell>
          <cell r="D27">
            <v>7.2575757575757557E-2</v>
          </cell>
        </row>
        <row r="28">
          <cell r="C28">
            <v>21.857598000000003</v>
          </cell>
          <cell r="D28">
            <v>6.3046000000000033E-2</v>
          </cell>
        </row>
      </sheetData>
      <sheetData sheetId="17" refreshError="1"/>
      <sheetData sheetId="18" refreshError="1">
        <row r="5">
          <cell r="B5" t="str">
            <v>CLIBCFTK27-CIG</v>
          </cell>
          <cell r="C5">
            <v>20</v>
          </cell>
          <cell r="D5">
            <v>19.735882352941179</v>
          </cell>
          <cell r="E5">
            <v>1.1702941176470585</v>
          </cell>
          <cell r="G5">
            <v>20</v>
          </cell>
        </row>
        <row r="6">
          <cell r="B6" t="str">
            <v>CLBLFTK27-CIG  </v>
          </cell>
          <cell r="C6">
            <v>30</v>
          </cell>
          <cell r="D6">
            <v>31.042500000000004</v>
          </cell>
          <cell r="E6">
            <v>2.5149999999999997</v>
          </cell>
          <cell r="G6">
            <v>24</v>
          </cell>
        </row>
        <row r="7">
          <cell r="B7" t="str">
            <v>GFSC2PFTK27-CIG</v>
          </cell>
          <cell r="C7">
            <v>35</v>
          </cell>
          <cell r="D7">
            <v>35.576969696969698</v>
          </cell>
          <cell r="E7">
            <v>2.5454545454545459</v>
          </cell>
          <cell r="G7">
            <v>35</v>
          </cell>
        </row>
        <row r="8">
          <cell r="B8" t="str">
            <v>CLCNTFTK27-CIG</v>
          </cell>
          <cell r="C8">
            <v>35</v>
          </cell>
          <cell r="D8">
            <v>35.404827586206892</v>
          </cell>
          <cell r="E8">
            <v>2.1213793103448273</v>
          </cell>
          <cell r="G8">
            <v>35</v>
          </cell>
        </row>
        <row r="9">
          <cell r="B9" t="str">
            <v>GFRFFMC27-CIG  </v>
          </cell>
          <cell r="C9">
            <v>12</v>
          </cell>
          <cell r="D9">
            <v>11.413333333333332</v>
          </cell>
          <cell r="E9">
            <v>1.2133333333333332</v>
          </cell>
          <cell r="G9">
            <v>12</v>
          </cell>
        </row>
        <row r="10">
          <cell r="B10" t="str">
            <v>GFRFFNPFTK27CIG</v>
          </cell>
          <cell r="C10">
            <v>12</v>
          </cell>
          <cell r="D10">
            <v>11.86</v>
          </cell>
          <cell r="E10">
            <v>1.3742105263157895</v>
          </cell>
          <cell r="G10">
            <v>35</v>
          </cell>
        </row>
        <row r="11">
          <cell r="B11" t="str">
            <v>ACMNZFTK27-CIG</v>
          </cell>
          <cell r="C11">
            <v>35</v>
          </cell>
          <cell r="D11">
            <v>34.920000000000009</v>
          </cell>
          <cell r="E11">
            <v>2.1169047619047618</v>
          </cell>
          <cell r="G11">
            <v>24</v>
          </cell>
        </row>
        <row r="12">
          <cell r="B12" t="str">
            <v>CLBDFFCFTK27CIG</v>
          </cell>
          <cell r="C12">
            <v>24</v>
          </cell>
          <cell r="D12">
            <v>20.937666666666665</v>
          </cell>
          <cell r="E12">
            <v>1.5003333333333333</v>
          </cell>
          <cell r="G12">
            <v>35</v>
          </cell>
        </row>
        <row r="13">
          <cell r="B13" t="str">
            <v>CLBDFFCFTK27CIG</v>
          </cell>
          <cell r="C13">
            <v>24</v>
          </cell>
          <cell r="D13">
            <v>24.515217391304351</v>
          </cell>
          <cell r="E13">
            <v>1.6443478260869566</v>
          </cell>
          <cell r="G13">
            <v>35</v>
          </cell>
        </row>
        <row r="14">
          <cell r="B14" t="str">
            <v>CLRTFFCFTK27CIG</v>
          </cell>
          <cell r="C14">
            <v>12</v>
          </cell>
          <cell r="D14">
            <v>13.13833333333333</v>
          </cell>
          <cell r="E14">
            <v>1.2550000000000001</v>
          </cell>
          <cell r="G14">
            <v>24</v>
          </cell>
        </row>
        <row r="15">
          <cell r="B15" t="str">
            <v>CLCNTFTK27-CIG</v>
          </cell>
          <cell r="C15">
            <v>35</v>
          </cell>
          <cell r="D15">
            <v>34.951315789473689</v>
          </cell>
          <cell r="E15">
            <v>1.8028947368421051</v>
          </cell>
          <cell r="G15">
            <v>24</v>
          </cell>
        </row>
        <row r="16">
          <cell r="B16" t="str">
            <v>CLCNTFTK27-CIG</v>
          </cell>
          <cell r="C16">
            <v>35</v>
          </cell>
          <cell r="D16">
            <v>36.610303030303029</v>
          </cell>
          <cell r="E16">
            <v>2.2500000000000004</v>
          </cell>
          <cell r="G16">
            <v>35</v>
          </cell>
        </row>
        <row r="17">
          <cell r="G17">
            <v>35</v>
          </cell>
        </row>
        <row r="25">
          <cell r="G25">
            <v>24</v>
          </cell>
        </row>
        <row r="26">
          <cell r="G26">
            <v>35</v>
          </cell>
        </row>
        <row r="27">
          <cell r="G27">
            <v>35</v>
          </cell>
        </row>
      </sheetData>
      <sheetData sheetId="19" refreshError="1"/>
      <sheetData sheetId="20" refreshError="1">
        <row r="5">
          <cell r="B5" t="str">
            <v>CLCNTFTK27-CIG</v>
          </cell>
          <cell r="C5">
            <v>170</v>
          </cell>
          <cell r="D5">
            <v>172.86842105263159</v>
          </cell>
          <cell r="E5">
            <v>7.5</v>
          </cell>
        </row>
        <row r="6">
          <cell r="B6" t="str">
            <v>CLIBCFTK27-CIG</v>
          </cell>
          <cell r="C6">
            <v>110</v>
          </cell>
          <cell r="D6">
            <v>112.58823529411765</v>
          </cell>
          <cell r="E6">
            <v>3.4705882352941178</v>
          </cell>
        </row>
        <row r="7">
          <cell r="B7" t="str">
            <v>GFSC2PFTK27-CIG</v>
          </cell>
          <cell r="C7">
            <v>170</v>
          </cell>
          <cell r="D7">
            <v>174.57575757575756</v>
          </cell>
          <cell r="E7">
            <v>10.121212121212121</v>
          </cell>
        </row>
        <row r="8">
          <cell r="B8" t="str">
            <v>CLCLVBFTK20-CIG</v>
          </cell>
          <cell r="C8">
            <v>90</v>
          </cell>
          <cell r="D8">
            <v>95.071428571428569</v>
          </cell>
          <cell r="E8">
            <v>8.0714285714285712</v>
          </cell>
        </row>
        <row r="9">
          <cell r="B9" t="str">
            <v>GFPMDFFT2-CIG  </v>
          </cell>
          <cell r="C9">
            <v>110</v>
          </cell>
          <cell r="D9">
            <v>118.5</v>
          </cell>
          <cell r="E9">
            <v>6.2</v>
          </cell>
        </row>
        <row r="10">
          <cell r="B10" t="str">
            <v>FLSPLFT15-CIG  </v>
          </cell>
          <cell r="C10">
            <v>104</v>
          </cell>
          <cell r="D10">
            <v>110.57142857142857</v>
          </cell>
          <cell r="E10">
            <v>5.2857142857142856</v>
          </cell>
        </row>
        <row r="11">
          <cell r="B11" t="str">
            <v>CLCNTFTK27-CIG</v>
          </cell>
          <cell r="C11">
            <v>170</v>
          </cell>
          <cell r="D11">
            <v>180.41379310344828</v>
          </cell>
          <cell r="E11">
            <v>7.6896551724137927</v>
          </cell>
        </row>
        <row r="12">
          <cell r="B12" t="str">
            <v>CACLNBFT20-CIG</v>
          </cell>
          <cell r="C12">
            <v>95</v>
          </cell>
          <cell r="D12">
            <v>102.14285714285714</v>
          </cell>
          <cell r="E12">
            <v>9.1428571428571423</v>
          </cell>
        </row>
        <row r="13">
          <cell r="B13" t="str">
            <v>BRCLVFT20-CIG  </v>
          </cell>
          <cell r="C13">
            <v>100</v>
          </cell>
          <cell r="D13">
            <v>86.25</v>
          </cell>
          <cell r="E13">
            <v>9.375</v>
          </cell>
        </row>
        <row r="14">
          <cell r="B14" t="str">
            <v>GFINMFT20-CIG  </v>
          </cell>
          <cell r="C14">
            <v>103</v>
          </cell>
          <cell r="D14">
            <v>110.57142857142857</v>
          </cell>
          <cell r="E14">
            <v>5.1142857142857139</v>
          </cell>
        </row>
        <row r="15">
          <cell r="B15" t="str">
            <v>GFLMDPFFT2-CIG</v>
          </cell>
          <cell r="C15">
            <v>102</v>
          </cell>
          <cell r="D15">
            <v>117.5</v>
          </cell>
          <cell r="E15">
            <v>7</v>
          </cell>
        </row>
        <row r="16">
          <cell r="B16" t="str">
            <v>NCDLXNPCT15-CIG</v>
          </cell>
          <cell r="C16">
            <v>109</v>
          </cell>
          <cell r="D16">
            <v>112</v>
          </cell>
          <cell r="E16">
            <v>3.1666666666666665</v>
          </cell>
        </row>
        <row r="17">
          <cell r="B17" t="str">
            <v>GFRFFMC27-CIG  </v>
          </cell>
          <cell r="C17">
            <v>109</v>
          </cell>
          <cell r="D17">
            <v>119.33333333333333</v>
          </cell>
          <cell r="E17">
            <v>3.6666666666666665</v>
          </cell>
        </row>
        <row r="18">
          <cell r="B18" t="str">
            <v>GFRFFNPFTK27CIG</v>
          </cell>
          <cell r="C18">
            <v>109</v>
          </cell>
          <cell r="D18">
            <v>122.26315789473684</v>
          </cell>
          <cell r="E18">
            <v>4.5789473684210522</v>
          </cell>
        </row>
        <row r="19">
          <cell r="B19" t="str">
            <v>ACMNZFTK27-CIG</v>
          </cell>
          <cell r="C19">
            <v>170</v>
          </cell>
          <cell r="D19">
            <v>175.35714285714286</v>
          </cell>
          <cell r="E19">
            <v>9.8809523809523814</v>
          </cell>
        </row>
        <row r="20">
          <cell r="B20" t="str">
            <v>CLBDFFCFTK27CIG</v>
          </cell>
          <cell r="C20">
            <v>106</v>
          </cell>
          <cell r="D20">
            <v>109.23333333333333</v>
          </cell>
          <cell r="E20">
            <v>3.2666666666666666</v>
          </cell>
        </row>
        <row r="21">
          <cell r="B21" t="str">
            <v>CLBDFFCFTK27CIG</v>
          </cell>
          <cell r="C21">
            <v>106</v>
          </cell>
          <cell r="D21">
            <v>109.95652173913044</v>
          </cell>
          <cell r="E21">
            <v>3.5652173913043477</v>
          </cell>
        </row>
        <row r="22">
          <cell r="B22" t="str">
            <v>CLRTFFCFTK27CIG</v>
          </cell>
          <cell r="C22">
            <v>105</v>
          </cell>
          <cell r="D22">
            <v>121</v>
          </cell>
          <cell r="E22">
            <v>3.8333333333333335</v>
          </cell>
        </row>
        <row r="23">
          <cell r="B23" t="str">
            <v>CLCNTFTK27-CIG</v>
          </cell>
          <cell r="C23">
            <v>170</v>
          </cell>
          <cell r="D23">
            <v>186.03030303030303</v>
          </cell>
          <cell r="E23">
            <v>10.454545454545455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62BE6-9B18-4F45-9C18-F897C1482EA6}">
  <dimension ref="A1:M20"/>
  <sheetViews>
    <sheetView tabSelected="1" workbookViewId="0">
      <selection sqref="A1:M20"/>
    </sheetView>
  </sheetViews>
  <sheetFormatPr defaultRowHeight="14.4" x14ac:dyDescent="0.3"/>
  <sheetData>
    <row r="1" spans="1:13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3">
        <v>10</v>
      </c>
      <c r="B2" s="4" t="s">
        <v>13</v>
      </c>
      <c r="C2" s="5">
        <v>278.10000000000008</v>
      </c>
      <c r="D2" s="5">
        <v>278.79208333333332</v>
      </c>
      <c r="E2" s="6">
        <f>IFERROR(VLOOKUP(B2,'[1]IWV aa'!B$5:C46,2,0),"")</f>
        <v>2.1823529411764714E-2</v>
      </c>
      <c r="F2" s="6">
        <f>IFERROR(VLOOKUP(B2,'[1]Circ Ana'!B$5:D$44,3,0),"")</f>
        <v>5.0558823529411753E-2</v>
      </c>
      <c r="G2" s="7">
        <f>IFERROR(VLOOKUP(B2,'[1]PDO Ana'!B$5:D$66,2,0),"")</f>
        <v>110</v>
      </c>
      <c r="H2" s="8">
        <f>IFERROR(VLOOKUP(B2,'[1]PDO Ana'!B$5:D$66,3,0),"")</f>
        <v>112.58823529411765</v>
      </c>
      <c r="I2" s="8">
        <f>IFERROR(ABS(G2-H2),"")</f>
        <v>2.5882352941176521</v>
      </c>
      <c r="J2" s="8">
        <f>IFERROR(VLOOKUP(B2,'[1]PDO Ana'!B$5:E$66,4,0),"")</f>
        <v>3.4705882352941178</v>
      </c>
      <c r="K2" s="9">
        <f>IFERROR(VLOOKUP(B2,'[1]Venti Ana'!B$5:E36,2,0), "")</f>
        <v>20</v>
      </c>
      <c r="L2" s="10">
        <f>IFERROR(VLOOKUP(B2,'[1]Venti Ana'!B$5:F$36,3,0),"")</f>
        <v>19.735882352941179</v>
      </c>
      <c r="M2" s="10">
        <f>IFERROR(VLOOKUP(B2,'[1]Venti Ana'!B$5:G$36,4,0),"")</f>
        <v>1.1702941176470585</v>
      </c>
    </row>
    <row r="3" spans="1:13" x14ac:dyDescent="0.3">
      <c r="A3" s="3">
        <v>19</v>
      </c>
      <c r="B3" s="4" t="s">
        <v>14</v>
      </c>
      <c r="C3" s="5">
        <v>327.3</v>
      </c>
      <c r="D3" s="5">
        <v>329.85</v>
      </c>
      <c r="E3" s="6">
        <f>IFERROR(VLOOKUP(B3,'[1]IWV aa'!B$5:C47,2,0),"")</f>
        <v>4.3499999999999997E-2</v>
      </c>
      <c r="F3" s="6">
        <f>IFERROR(VLOOKUP(B3,'[1]Circ Ana'!B$5:D$44,3,0),"")</f>
        <v>6.7250000000000004E-2</v>
      </c>
      <c r="G3" s="7" t="str">
        <f>IFERROR(VLOOKUP(B3,'[1]PDO Ana'!B$5:D$66,2,0),"")</f>
        <v/>
      </c>
      <c r="H3" s="8" t="str">
        <f>IFERROR(VLOOKUP(B3,'[1]PDO Ana'!B$5:D$66,3,0),"")</f>
        <v/>
      </c>
      <c r="I3" s="8" t="str">
        <f t="shared" ref="I3:I20" si="0">IFERROR(ABS(G3-H3),"")</f>
        <v/>
      </c>
      <c r="J3" s="8" t="str">
        <f>IFERROR(VLOOKUP(B3,'[1]PDO Ana'!B$5:E$66,4,0),"")</f>
        <v/>
      </c>
      <c r="K3" s="9">
        <f>IFERROR(VLOOKUP(B3,'[1]Venti Ana'!B$5:E37,2,0), "")</f>
        <v>30</v>
      </c>
      <c r="L3" s="10">
        <f>IFERROR(VLOOKUP(B3,'[1]Venti Ana'!B$5:F$36,3,0),"")</f>
        <v>31.042500000000004</v>
      </c>
      <c r="M3" s="10">
        <f>IFERROR(VLOOKUP(B3,'[1]Venti Ana'!B$5:G$36,4,0),"")</f>
        <v>2.5149999999999997</v>
      </c>
    </row>
    <row r="4" spans="1:13" x14ac:dyDescent="0.3">
      <c r="A4" s="3">
        <v>20</v>
      </c>
      <c r="B4" s="4" t="s">
        <v>15</v>
      </c>
      <c r="C4" s="5">
        <v>173.40000000000006</v>
      </c>
      <c r="D4" s="5">
        <v>172.96956521739131</v>
      </c>
      <c r="E4" s="6">
        <f>IFERROR(VLOOKUP(B4,'[1]IWV aa'!B$5:C48,2,0),"")</f>
        <v>1.8484848484848493E-2</v>
      </c>
      <c r="F4" s="6">
        <f>IFERROR(VLOOKUP(B4,'[1]Circ Ana'!B$5:D$44,3,0),"")</f>
        <v>7.8575757575757577E-2</v>
      </c>
      <c r="G4" s="7">
        <f>IFERROR(VLOOKUP(B4,'[1]PDO Ana'!B$5:D$66,2,0),"")</f>
        <v>170</v>
      </c>
      <c r="H4" s="8">
        <f>IFERROR(VLOOKUP(B4,'[1]PDO Ana'!B$5:D$66,3,0),"")</f>
        <v>174.57575757575756</v>
      </c>
      <c r="I4" s="8">
        <f t="shared" si="0"/>
        <v>4.5757575757575637</v>
      </c>
      <c r="J4" s="8">
        <f>IFERROR(VLOOKUP(B4,'[1]PDO Ana'!B$5:E$66,4,0),"")</f>
        <v>10.121212121212121</v>
      </c>
      <c r="K4" s="9">
        <f>IFERROR(VLOOKUP(B4,'[1]Venti Ana'!B$5:E38,2,0), "")</f>
        <v>35</v>
      </c>
      <c r="L4" s="10">
        <f>IFERROR(VLOOKUP(B4,'[1]Venti Ana'!B$5:F$36,3,0),"")</f>
        <v>35.576969696969698</v>
      </c>
      <c r="M4" s="10">
        <f>IFERROR(VLOOKUP(B4,'[1]Venti Ana'!B$5:G$36,4,0),"")</f>
        <v>2.5454545454545459</v>
      </c>
    </row>
    <row r="5" spans="1:13" x14ac:dyDescent="0.3">
      <c r="A5" s="3">
        <v>25</v>
      </c>
      <c r="B5" s="4" t="s">
        <v>16</v>
      </c>
      <c r="C5" s="5">
        <v>220.19999999999987</v>
      </c>
      <c r="D5" s="5">
        <v>220.42555555555555</v>
      </c>
      <c r="E5" s="6">
        <f>IFERROR(VLOOKUP(B5,'[1]IWV aa'!B$5:C49,2,0),"")</f>
        <v>2.1542857142857152E-2</v>
      </c>
      <c r="F5" s="6">
        <f>IFERROR(VLOOKUP(B5,'[1]Circ Ana'!B$5:D$44,3,0),"")</f>
        <v>6.1314285714285696E-2</v>
      </c>
      <c r="G5" s="7">
        <f>IFERROR(VLOOKUP(B5,'[1]PDO Ana'!B$5:D$66,2,0),"")</f>
        <v>104</v>
      </c>
      <c r="H5" s="8">
        <f>IFERROR(VLOOKUP(B5,'[1]PDO Ana'!B$5:D$66,3,0),"")</f>
        <v>110.57142857142857</v>
      </c>
      <c r="I5" s="8">
        <f t="shared" si="0"/>
        <v>6.5714285714285694</v>
      </c>
      <c r="J5" s="8">
        <f>IFERROR(VLOOKUP(B5,'[1]PDO Ana'!B$5:E$66,4,0),"")</f>
        <v>5.2857142857142856</v>
      </c>
      <c r="K5" s="9" t="str">
        <f>IFERROR(VLOOKUP(B5,'[1]Venti Ana'!B$5:E39,2,0), "")</f>
        <v/>
      </c>
      <c r="L5" s="8" t="str">
        <f>IFERROR(VLOOKUP(B5,'[1]Venti Ana'!B$5:F$36,3,0),"")</f>
        <v/>
      </c>
      <c r="M5" s="10" t="str">
        <f>IFERROR(VLOOKUP(B5,'[1]Venti Ana'!B$5:G$36,4,0),"")</f>
        <v/>
      </c>
    </row>
    <row r="6" spans="1:13" x14ac:dyDescent="0.3">
      <c r="A6" s="3">
        <v>26</v>
      </c>
      <c r="B6" s="4" t="s">
        <v>17</v>
      </c>
      <c r="C6" s="5">
        <v>166.19999999999993</v>
      </c>
      <c r="D6" s="5">
        <v>166.8411111111111</v>
      </c>
      <c r="E6" s="6">
        <f>IFERROR(VLOOKUP(B6,'[1]IWV aa'!B$5:C50,2,0),"")</f>
        <v>1.507894736842106E-2</v>
      </c>
      <c r="F6" s="6">
        <f>IFERROR(VLOOKUP(B6,'[1]Circ Ana'!B$5:D$44,3,0),"")</f>
        <v>5.042105263157895E-2</v>
      </c>
      <c r="G6" s="7">
        <f>IFERROR(VLOOKUP(B6,'[1]PDO Ana'!B$5:D$66,2,0),"")</f>
        <v>170</v>
      </c>
      <c r="H6" s="8">
        <f>IFERROR(VLOOKUP(B6,'[1]PDO Ana'!B$5:D$66,3,0),"")</f>
        <v>172.86842105263159</v>
      </c>
      <c r="I6" s="8">
        <f t="shared" si="0"/>
        <v>2.8684210526315894</v>
      </c>
      <c r="J6" s="8">
        <f>IFERROR(VLOOKUP(B6,'[1]PDO Ana'!B$5:E$66,4,0),"")</f>
        <v>7.5</v>
      </c>
      <c r="K6" s="9">
        <f>IFERROR(VLOOKUP(B6,'[1]Venti Ana'!B$5:E40,2,0), "")</f>
        <v>35</v>
      </c>
      <c r="L6" s="8">
        <f>IFERROR(VLOOKUP(B6,'[1]Venti Ana'!B$5:F$36,3,0),"")</f>
        <v>35.404827586206892</v>
      </c>
      <c r="M6" s="8">
        <f>IFERROR(VLOOKUP(B6,'[1]Venti Ana'!B$5:G$36,4,0),"")</f>
        <v>2.1213793103448273</v>
      </c>
    </row>
    <row r="7" spans="1:13" x14ac:dyDescent="0.3">
      <c r="A7" s="3">
        <v>27</v>
      </c>
      <c r="B7" s="4" t="s">
        <v>18</v>
      </c>
      <c r="C7" s="5">
        <v>239.39999999999992</v>
      </c>
      <c r="D7" s="5">
        <v>239.5504</v>
      </c>
      <c r="E7" s="6">
        <f>IFERROR(VLOOKUP(B7,'[1]IWV aa'!B$5:C51,2,0),"")</f>
        <v>2.1275862068965527E-2</v>
      </c>
      <c r="F7" s="6">
        <f>IFERROR(VLOOKUP(B7,'[1]Circ Ana'!B$5:D$44,3,0),"")</f>
        <v>6.7862068965517247E-2</v>
      </c>
      <c r="G7" s="7" t="str">
        <f>IFERROR(VLOOKUP(B7,'[1]PDO Ana'!B$5:D$66,2,0),"")</f>
        <v/>
      </c>
      <c r="H7" s="8" t="str">
        <f>IFERROR(VLOOKUP(B7,'[1]PDO Ana'!B$5:D$66,3,0),"")</f>
        <v/>
      </c>
      <c r="I7" s="8" t="str">
        <f t="shared" si="0"/>
        <v/>
      </c>
      <c r="J7" s="8" t="str">
        <f>IFERROR(VLOOKUP(B7,'[1]PDO Ana'!B$5:E$66,4,0),"")</f>
        <v/>
      </c>
      <c r="K7" s="9" t="str">
        <f>IFERROR(VLOOKUP(B7,'[1]Venti Ana'!B$5:E41,2,0), "")</f>
        <v/>
      </c>
      <c r="L7" s="8" t="str">
        <f>IFERROR(VLOOKUP(B7,'[1]Venti Ana'!B$5:F$36,3,0),"")</f>
        <v/>
      </c>
      <c r="M7" s="8" t="str">
        <f>IFERROR(VLOOKUP(B7,'[1]Venti Ana'!B$5:G$36,4,0),"")</f>
        <v/>
      </c>
    </row>
    <row r="8" spans="1:13" x14ac:dyDescent="0.3">
      <c r="A8" s="3">
        <v>28</v>
      </c>
      <c r="B8" s="4" t="s">
        <v>19</v>
      </c>
      <c r="C8" s="5">
        <v>249</v>
      </c>
      <c r="D8" s="5">
        <v>249.32047619047617</v>
      </c>
      <c r="E8" s="6">
        <f>IFERROR(VLOOKUP(B8,'[1]IWV aa'!B$5:C52,2,0),"")</f>
        <v>2.0433333333333345E-2</v>
      </c>
      <c r="F8" s="6">
        <f>IFERROR(VLOOKUP(B8,'[1]Circ Ana'!B$5:D$44,3,0),"")</f>
        <v>5.3633333333333338E-2</v>
      </c>
      <c r="G8" s="7">
        <f>IFERROR(VLOOKUP(B8,'[1]PDO Ana'!B$5:D$66,2,0),"")</f>
        <v>110</v>
      </c>
      <c r="H8" s="8">
        <f>IFERROR(VLOOKUP(B8,'[1]PDO Ana'!B$5:D$66,3,0),"")</f>
        <v>118.5</v>
      </c>
      <c r="I8" s="8">
        <f t="shared" si="0"/>
        <v>8.5</v>
      </c>
      <c r="J8" s="8">
        <f>IFERROR(VLOOKUP(B8,'[1]PDO Ana'!B$5:E$66,4,0),"")</f>
        <v>6.2</v>
      </c>
      <c r="K8" s="9" t="str">
        <f>IFERROR(VLOOKUP(B8,'[1]Venti Ana'!B$5:E42,2,0), "")</f>
        <v/>
      </c>
      <c r="L8" s="8" t="str">
        <f>IFERROR(VLOOKUP(B8,'[1]Venti Ana'!B$5:F$36,3,0),"")</f>
        <v/>
      </c>
      <c r="M8" s="8" t="str">
        <f>IFERROR(VLOOKUP(B8,'[1]Venti Ana'!B$5:G$36,4,0),"")</f>
        <v/>
      </c>
    </row>
    <row r="9" spans="1:13" x14ac:dyDescent="0.3">
      <c r="A9" s="3">
        <v>33</v>
      </c>
      <c r="B9" s="4" t="s">
        <v>20</v>
      </c>
      <c r="C9" s="5">
        <v>249.89999999999989</v>
      </c>
      <c r="D9" s="5">
        <v>249.96333333333334</v>
      </c>
      <c r="E9" s="6">
        <f>IFERROR(VLOOKUP(B9,'[1]IWV aa'!B$5:C53,2,0),"")</f>
        <v>1.8694444444444454E-2</v>
      </c>
      <c r="F9" s="6">
        <f>IFERROR(VLOOKUP(B9,'[1]Circ Ana'!B$5:D$44,3,0),"")</f>
        <v>5.8055555555555555E-2</v>
      </c>
      <c r="G9" s="7">
        <f>IFERROR(VLOOKUP(B9,'[1]PDO Ana'!B$5:D$66,2,0),"")</f>
        <v>103</v>
      </c>
      <c r="H9" s="8">
        <f>IFERROR(VLOOKUP(B9,'[1]PDO Ana'!B$5:D$66,3,0),"")</f>
        <v>110.57142857142857</v>
      </c>
      <c r="I9" s="8">
        <f t="shared" si="0"/>
        <v>7.5714285714285694</v>
      </c>
      <c r="J9" s="8">
        <f>IFERROR(VLOOKUP(B9,'[1]PDO Ana'!B$5:E$66,4,0),"")</f>
        <v>5.1142857142857139</v>
      </c>
      <c r="K9" s="9" t="str">
        <f>IFERROR(VLOOKUP(B9,'[1]Venti Ana'!B$5:E43,2,0), "")</f>
        <v/>
      </c>
      <c r="L9" s="8" t="str">
        <f>IFERROR(VLOOKUP(B9,'[1]Venti Ana'!B$5:F$36,3,0),"")</f>
        <v/>
      </c>
      <c r="M9" s="8" t="str">
        <f>IFERROR(VLOOKUP(B9,'[1]Venti Ana'!B$5:G$36,4,0),"")</f>
        <v/>
      </c>
    </row>
    <row r="10" spans="1:13" x14ac:dyDescent="0.3">
      <c r="A10" s="3">
        <v>34</v>
      </c>
      <c r="B10" s="4" t="s">
        <v>21</v>
      </c>
      <c r="C10" s="5">
        <v>229.2</v>
      </c>
      <c r="D10" s="5">
        <v>248.45</v>
      </c>
      <c r="E10" s="6">
        <f>IFERROR(VLOOKUP(B10,'[1]IWV aa'!B$5:C54,2,0),"")</f>
        <v>1.5500000000000002E-2</v>
      </c>
      <c r="F10" s="6">
        <f>IFERROR(VLOOKUP(B10,'[1]Circ Ana'!B$5:D$44,3,0),"")</f>
        <v>5.4333333333333324E-2</v>
      </c>
      <c r="G10" s="7">
        <f>IFERROR(VLOOKUP(B10,'[1]PDO Ana'!B$5:D$66,2,0),"")</f>
        <v>109</v>
      </c>
      <c r="H10" s="8">
        <f>IFERROR(VLOOKUP(B10,'[1]PDO Ana'!B$5:D$66,3,0),"")</f>
        <v>112</v>
      </c>
      <c r="I10" s="8">
        <f t="shared" si="0"/>
        <v>3</v>
      </c>
      <c r="J10" s="8">
        <f>IFERROR(VLOOKUP(B10,'[1]PDO Ana'!B$5:E$66,4,0),"")</f>
        <v>3.1666666666666665</v>
      </c>
      <c r="K10" s="9" t="str">
        <f>IFERROR(VLOOKUP(B10,'[1]Venti Ana'!B$5:E44,2,0), "")</f>
        <v/>
      </c>
      <c r="L10" s="8" t="str">
        <f>IFERROR(VLOOKUP(B10,'[1]Venti Ana'!B$5:F$36,3,0),"")</f>
        <v/>
      </c>
      <c r="M10" s="8" t="str">
        <f>IFERROR(VLOOKUP(B10,'[1]Venti Ana'!B$5:G$36,4,0),"")</f>
        <v/>
      </c>
    </row>
    <row r="11" spans="1:13" x14ac:dyDescent="0.3">
      <c r="A11" s="3"/>
      <c r="B11" s="4" t="s">
        <v>22</v>
      </c>
      <c r="C11" s="5">
        <v>248</v>
      </c>
      <c r="D11" s="5">
        <v>249.05</v>
      </c>
      <c r="E11" s="6">
        <f>IFERROR(VLOOKUP(B11,'[1]IWV aa'!B$5:C55,2,0),"")</f>
        <v>2.375E-2</v>
      </c>
      <c r="F11" s="6">
        <f>IFERROR(VLOOKUP(B11,'[1]Circ Ana'!B$5:D$44,3,0),"")</f>
        <v>5.5750000000000008E-2</v>
      </c>
      <c r="G11" s="7">
        <f>IFERROR(VLOOKUP(B11,'[1]PDO Ana'!B$5:D$66,2,0),"")</f>
        <v>102</v>
      </c>
      <c r="H11" s="8">
        <f>IFERROR(VLOOKUP(B11,'[1]PDO Ana'!B$5:D$66,3,0),"")</f>
        <v>117.5</v>
      </c>
      <c r="I11" s="8">
        <f t="shared" si="0"/>
        <v>15.5</v>
      </c>
      <c r="J11" s="8">
        <f>IFERROR(VLOOKUP(B11,'[1]PDO Ana'!B$5:E$66,4,0),"")</f>
        <v>7</v>
      </c>
      <c r="K11" s="9" t="str">
        <f>IFERROR(VLOOKUP(B11,'[1]Venti Ana'!B$5:E45,2,0), "")</f>
        <v/>
      </c>
      <c r="L11" s="8" t="str">
        <f>IFERROR(VLOOKUP(B11,'[1]Venti Ana'!B$5:F$36,3,0),"")</f>
        <v/>
      </c>
      <c r="M11" s="8" t="str">
        <f>IFERROR(VLOOKUP(B11,'[1]Venti Ana'!B$5:G$36,4,0),"")</f>
        <v/>
      </c>
    </row>
    <row r="12" spans="1:13" x14ac:dyDescent="0.3">
      <c r="A12" s="3">
        <v>35</v>
      </c>
      <c r="B12" s="4" t="s">
        <v>23</v>
      </c>
      <c r="C12" s="5">
        <v>282.89999999999998</v>
      </c>
      <c r="D12" s="5">
        <v>283.33333333333331</v>
      </c>
      <c r="E12" s="6">
        <f>IFERROR(VLOOKUP(B12,'[1]IWV aa'!B$5:C56,2,0),"")</f>
        <v>1.8666666666666665E-2</v>
      </c>
      <c r="F12" s="6">
        <f>IFERROR(VLOOKUP(B12,'[1]Circ Ana'!B$5:D$44,3,0),"")</f>
        <v>6.5166666666666664E-2</v>
      </c>
      <c r="G12" s="7">
        <f>IFERROR(VLOOKUP(B12,'[1]PDO Ana'!B$5:D$66,2,0),"")</f>
        <v>109</v>
      </c>
      <c r="H12" s="8">
        <f>IFERROR(VLOOKUP(B12,'[1]PDO Ana'!B$5:D$66,3,0),"")</f>
        <v>119.33333333333333</v>
      </c>
      <c r="I12" s="8">
        <f t="shared" si="0"/>
        <v>10.333333333333329</v>
      </c>
      <c r="J12" s="8">
        <f>IFERROR(VLOOKUP(B12,'[1]PDO Ana'!B$5:E$66,4,0),"")</f>
        <v>3.6666666666666665</v>
      </c>
      <c r="K12" s="9">
        <f>IFERROR(VLOOKUP(B12,'[1]Venti Ana'!B$5:E46,2,0), "")</f>
        <v>12</v>
      </c>
      <c r="L12" s="8">
        <f>IFERROR(VLOOKUP(B12,'[1]Venti Ana'!B$5:F$36,3,0),"")</f>
        <v>11.413333333333332</v>
      </c>
      <c r="M12" s="8">
        <f>IFERROR(VLOOKUP(B12,'[1]Venti Ana'!B$5:G$36,4,0),"")</f>
        <v>1.2133333333333332</v>
      </c>
    </row>
    <row r="13" spans="1:13" x14ac:dyDescent="0.3">
      <c r="A13" s="3"/>
      <c r="B13" s="4" t="s">
        <v>24</v>
      </c>
      <c r="C13" s="5">
        <v>284.39999999999998</v>
      </c>
      <c r="D13" s="5">
        <v>282.98149999999998</v>
      </c>
      <c r="E13" s="6">
        <f>IFERROR(VLOOKUP(B13,'[1]IWV aa'!B$5:C57,2,0),"")</f>
        <v>2.1263157894736852E-2</v>
      </c>
      <c r="F13" s="6">
        <f>IFERROR(VLOOKUP(B13,'[1]Circ Ana'!B$5:D$44,3,0),"")</f>
        <v>5.6000000000000001E-2</v>
      </c>
      <c r="G13" s="7">
        <f>IFERROR(VLOOKUP(B13,'[1]PDO Ana'!B$5:D$66,2,0),"")</f>
        <v>109</v>
      </c>
      <c r="H13" s="8">
        <f>IFERROR(VLOOKUP(B13,'[1]PDO Ana'!B$5:D$66,3,0),"")</f>
        <v>122.26315789473684</v>
      </c>
      <c r="I13" s="8">
        <f t="shared" si="0"/>
        <v>13.263157894736835</v>
      </c>
      <c r="J13" s="8">
        <f>IFERROR(VLOOKUP(B13,'[1]PDO Ana'!B$5:E$66,4,0),"")</f>
        <v>4.5789473684210522</v>
      </c>
      <c r="K13" s="9">
        <f>IFERROR(VLOOKUP(B13,'[1]Venti Ana'!B$5:E47,2,0), "")</f>
        <v>12</v>
      </c>
      <c r="L13" s="8">
        <f>IFERROR(VLOOKUP(B13,'[1]Venti Ana'!B$5:F$36,3,0),"")</f>
        <v>11.86</v>
      </c>
      <c r="M13" s="8">
        <f>IFERROR(VLOOKUP(B13,'[1]Venti Ana'!B$5:G$36,4,0),"")</f>
        <v>1.3742105263157895</v>
      </c>
    </row>
    <row r="14" spans="1:13" x14ac:dyDescent="0.3">
      <c r="A14" s="3">
        <v>36</v>
      </c>
      <c r="B14" s="4" t="s">
        <v>25</v>
      </c>
      <c r="C14" s="5">
        <v>166.8</v>
      </c>
      <c r="D14" s="5">
        <v>166.86187500000003</v>
      </c>
      <c r="E14" s="6">
        <f>IFERROR(VLOOKUP(B14,'[1]IWV aa'!B$5:C58,2,0),"")</f>
        <v>2.2095238095238109E-2</v>
      </c>
      <c r="F14" s="6">
        <f>IFERROR(VLOOKUP(B14,'[1]Circ Ana'!B$5:D$44,3,0),"")</f>
        <v>7.2119047619047624E-2</v>
      </c>
      <c r="G14" s="7">
        <f>IFERROR(VLOOKUP(B14,'[1]PDO Ana'!B$5:D$66,2,0),"")</f>
        <v>170</v>
      </c>
      <c r="H14" s="8">
        <f>IFERROR(VLOOKUP(B14,'[1]PDO Ana'!B$5:D$66,3,0),"")</f>
        <v>175.35714285714286</v>
      </c>
      <c r="I14" s="8">
        <f t="shared" si="0"/>
        <v>5.3571428571428612</v>
      </c>
      <c r="J14" s="8">
        <f>IFERROR(VLOOKUP(B14,'[1]PDO Ana'!B$5:E$66,4,0),"")</f>
        <v>9.8809523809523814</v>
      </c>
      <c r="K14" s="9">
        <f>IFERROR(VLOOKUP(B14,'[1]Venti Ana'!B$5:E48,2,0), "")</f>
        <v>35</v>
      </c>
      <c r="L14" s="8">
        <f>IFERROR(VLOOKUP(B14,'[1]Venti Ana'!B$5:F$36,3,0),"")</f>
        <v>34.920000000000009</v>
      </c>
      <c r="M14" s="8">
        <f>IFERROR(VLOOKUP(B14,'[1]Venti Ana'!B$5:G$36,4,0),"")</f>
        <v>2.1169047619047618</v>
      </c>
    </row>
    <row r="15" spans="1:13" x14ac:dyDescent="0.3">
      <c r="A15" s="3">
        <v>37</v>
      </c>
      <c r="B15" s="4" t="s">
        <v>26</v>
      </c>
      <c r="C15" s="5">
        <v>277.80000000000007</v>
      </c>
      <c r="D15" s="5">
        <v>281.92636363636365</v>
      </c>
      <c r="E15" s="6">
        <f>IFERROR(VLOOKUP(B15,'[1]IWV aa'!B$5:C59,2,0),"")</f>
        <v>2.1533333333333342E-2</v>
      </c>
      <c r="F15" s="6">
        <f>IFERROR(VLOOKUP(B15,'[1]Circ Ana'!B$5:D$44,3,0),"")</f>
        <v>7.3033333333333325E-2</v>
      </c>
      <c r="G15" s="7">
        <f>IFERROR(VLOOKUP(B15,'[1]PDO Ana'!B$5:D$66,2,0),"")</f>
        <v>106</v>
      </c>
      <c r="H15" s="8">
        <f>IFERROR(VLOOKUP(B15,'[1]PDO Ana'!B$5:D$66,3,0),"")</f>
        <v>109.23333333333333</v>
      </c>
      <c r="I15" s="8">
        <f t="shared" si="0"/>
        <v>3.2333333333333343</v>
      </c>
      <c r="J15" s="8">
        <f>IFERROR(VLOOKUP(B15,'[1]PDO Ana'!B$5:E$66,4,0),"")</f>
        <v>3.2666666666666666</v>
      </c>
      <c r="K15" s="9">
        <f>IFERROR(VLOOKUP(B15,'[1]Venti Ana'!B$5:E49,2,0), "")</f>
        <v>24</v>
      </c>
      <c r="L15" s="8">
        <f>IFERROR(VLOOKUP(B15,'[1]Venti Ana'!B$5:F$36,3,0),"")</f>
        <v>20.937666666666665</v>
      </c>
      <c r="M15" s="8">
        <f>IFERROR(VLOOKUP(B15,'[1]Venti Ana'!B$5:G$36,4,0),"")</f>
        <v>1.5003333333333333</v>
      </c>
    </row>
    <row r="16" spans="1:13" x14ac:dyDescent="0.3">
      <c r="A16" s="3">
        <v>38</v>
      </c>
      <c r="B16" s="4" t="s">
        <v>26</v>
      </c>
      <c r="C16" s="5">
        <v>277.80000000000007</v>
      </c>
      <c r="D16" s="5">
        <v>277.87058823529412</v>
      </c>
      <c r="E16" s="6">
        <f>IFERROR(VLOOKUP(B16,'[1]IWV aa'!B$5:C60,2,0),"")</f>
        <v>2.1533333333333342E-2</v>
      </c>
      <c r="F16" s="6">
        <f>IFERROR(VLOOKUP(B16,'[1]Circ Ana'!B$5:D$44,3,0),"")</f>
        <v>7.3033333333333325E-2</v>
      </c>
      <c r="G16" s="7">
        <f>IFERROR(VLOOKUP(B16,'[1]PDO Ana'!B$5:D$66,2,0),"")</f>
        <v>106</v>
      </c>
      <c r="H16" s="8">
        <f>IFERROR(VLOOKUP(B16,'[1]PDO Ana'!B$5:D$66,3,0),"")</f>
        <v>109.23333333333333</v>
      </c>
      <c r="I16" s="8">
        <f t="shared" si="0"/>
        <v>3.2333333333333343</v>
      </c>
      <c r="J16" s="8">
        <f>IFERROR(VLOOKUP(B16,'[1]PDO Ana'!B$5:E$66,4,0),"")</f>
        <v>3.2666666666666666</v>
      </c>
      <c r="K16" s="9">
        <f>IFERROR(VLOOKUP(B16,'[1]Venti Ana'!B$5:E50,2,0), "")</f>
        <v>24</v>
      </c>
      <c r="L16" s="8">
        <f>IFERROR(VLOOKUP(B16,'[1]Venti Ana'!B$5:F$36,3,0),"")</f>
        <v>20.937666666666665</v>
      </c>
      <c r="M16" s="8">
        <f>IFERROR(VLOOKUP(B16,'[1]Venti Ana'!B$5:G$36,4,0),"")</f>
        <v>1.5003333333333333</v>
      </c>
    </row>
    <row r="17" spans="1:13" x14ac:dyDescent="0.3">
      <c r="A17" s="3"/>
      <c r="B17" s="4" t="s">
        <v>27</v>
      </c>
      <c r="C17" s="5">
        <v>289.8</v>
      </c>
      <c r="D17" s="5">
        <v>291</v>
      </c>
      <c r="E17" s="6">
        <f>IFERROR(VLOOKUP(B17,'[1]IWV aa'!B$5:C61,2,0),"")</f>
        <v>2.0333333333333332E-2</v>
      </c>
      <c r="F17" s="6">
        <f>IFERROR(VLOOKUP(B17,'[1]Circ Ana'!B$5:D$44,3,0),"")</f>
        <v>4.6499999999999993E-2</v>
      </c>
      <c r="G17" s="7">
        <f>IFERROR(VLOOKUP(B17,'[1]PDO Ana'!B$5:D$66,2,0),"")</f>
        <v>105</v>
      </c>
      <c r="H17" s="8">
        <f>IFERROR(VLOOKUP(B17,'[1]PDO Ana'!B$5:D$66,3,0),"")</f>
        <v>121</v>
      </c>
      <c r="I17" s="8">
        <f t="shared" si="0"/>
        <v>16</v>
      </c>
      <c r="J17" s="8">
        <f>IFERROR(VLOOKUP(B17,'[1]PDO Ana'!B$5:E$66,4,0),"")</f>
        <v>3.8333333333333335</v>
      </c>
      <c r="K17" s="9">
        <f>IFERROR(VLOOKUP(B17,'[1]Venti Ana'!B$5:E51,2,0), "")</f>
        <v>12</v>
      </c>
      <c r="L17" s="8">
        <f>IFERROR(VLOOKUP(B17,'[1]Venti Ana'!B$5:F$36,3,0),"")</f>
        <v>13.13833333333333</v>
      </c>
      <c r="M17" s="8">
        <f>IFERROR(VLOOKUP(B17,'[1]Venti Ana'!B$5:G$36,4,0),"")</f>
        <v>1.2550000000000001</v>
      </c>
    </row>
    <row r="18" spans="1:13" x14ac:dyDescent="0.3">
      <c r="A18" s="3">
        <v>16</v>
      </c>
      <c r="B18" s="4" t="s">
        <v>28</v>
      </c>
      <c r="C18" s="5">
        <v>269.76</v>
      </c>
      <c r="D18" s="5">
        <v>165.50333333333333</v>
      </c>
      <c r="E18" s="6" t="str">
        <f>IFERROR(VLOOKUP(B18,'[1]IWV aa'!B$5:C62,2,0),"")</f>
        <v/>
      </c>
      <c r="F18" s="6" t="str">
        <f>IFERROR(VLOOKUP(B18,'[1]Circ Ana'!B$5:D$44,3,0),"")</f>
        <v/>
      </c>
      <c r="G18" s="7" t="str">
        <f>IFERROR(VLOOKUP(B18,'[1]PDO Ana'!B$5:D$66,2,0),"")</f>
        <v/>
      </c>
      <c r="H18" s="8" t="str">
        <f>IFERROR(VLOOKUP(B18,'[1]PDO Ana'!B$5:D$66,3,0),"")</f>
        <v/>
      </c>
      <c r="I18" s="8" t="str">
        <f t="shared" si="0"/>
        <v/>
      </c>
      <c r="J18" s="8" t="str">
        <f>IFERROR(VLOOKUP(B18,'[1]PDO Ana'!B$5:E$66,4,0),"")</f>
        <v/>
      </c>
      <c r="K18" s="9" t="str">
        <f>IFERROR(VLOOKUP(B18,'[1]Venti Ana'!B$5:E52,2,0), "")</f>
        <v/>
      </c>
      <c r="L18" s="8" t="str">
        <f>IFERROR(VLOOKUP(B18,'[1]Venti Ana'!B$5:F$36,3,0),"")</f>
        <v/>
      </c>
      <c r="M18" s="8" t="str">
        <f>IFERROR(VLOOKUP(B18,'[1]Venti Ana'!B$5:G$36,4,0),"")</f>
        <v/>
      </c>
    </row>
    <row r="19" spans="1:13" x14ac:dyDescent="0.3">
      <c r="A19" s="3">
        <v>24</v>
      </c>
      <c r="B19" s="4" t="s">
        <v>19</v>
      </c>
      <c r="C19" s="5">
        <v>249</v>
      </c>
      <c r="D19" s="5">
        <v>249.26551724137931</v>
      </c>
      <c r="E19" s="6">
        <f>IFERROR(VLOOKUP(B19,'[1]IWV aa'!B$5:C63,2,0),"")</f>
        <v>2.0433333333333345E-2</v>
      </c>
      <c r="F19" s="6">
        <f>IFERROR(VLOOKUP(B19,'[1]Circ Ana'!B$5:D$44,3,0),"")</f>
        <v>5.3633333333333338E-2</v>
      </c>
      <c r="G19" s="7">
        <f>IFERROR(VLOOKUP(B19,'[1]PDO Ana'!B$5:D$66,2,0),"")</f>
        <v>110</v>
      </c>
      <c r="H19" s="8">
        <f>IFERROR(VLOOKUP(B19,'[1]PDO Ana'!B$5:D$66,3,0),"")</f>
        <v>118.5</v>
      </c>
      <c r="I19" s="8">
        <f t="shared" si="0"/>
        <v>8.5</v>
      </c>
      <c r="J19" s="8">
        <f>IFERROR(VLOOKUP(B19,'[1]PDO Ana'!B$5:E$66,4,0),"")</f>
        <v>6.2</v>
      </c>
      <c r="K19" s="9" t="str">
        <f>IFERROR(VLOOKUP(B19,'[1]Venti Ana'!B$5:E53,2,0), "")</f>
        <v/>
      </c>
      <c r="L19" s="8" t="str">
        <f>IFERROR(VLOOKUP(B19,'[1]Venti Ana'!B$5:F$36,3,0),"")</f>
        <v/>
      </c>
      <c r="M19" s="8" t="str">
        <f>IFERROR(VLOOKUP(B19,'[1]Venti Ana'!B$5:G$36,4,0),"")</f>
        <v/>
      </c>
    </row>
    <row r="20" spans="1:13" x14ac:dyDescent="0.3">
      <c r="A20" s="3">
        <v>9</v>
      </c>
      <c r="B20" s="4" t="s">
        <v>17</v>
      </c>
      <c r="C20" s="5">
        <v>166.2</v>
      </c>
      <c r="D20" s="5">
        <v>166.66800000000003</v>
      </c>
      <c r="E20" s="6">
        <f>IFERROR(VLOOKUP(B20,'[1]IWV aa'!B$5:C64,2,0),"")</f>
        <v>1.507894736842106E-2</v>
      </c>
      <c r="F20" s="6">
        <f>IFERROR(VLOOKUP(B20,'[1]Circ Ana'!B$5:D$44,3,0),"")</f>
        <v>5.042105263157895E-2</v>
      </c>
      <c r="G20" s="7">
        <f>IFERROR(VLOOKUP(B20,'[1]PDO Ana'!B$5:D$66,2,0),"")</f>
        <v>170</v>
      </c>
      <c r="H20" s="8">
        <f>IFERROR(VLOOKUP(B20,'[1]PDO Ana'!B$5:D$66,3,0),"")</f>
        <v>172.86842105263159</v>
      </c>
      <c r="I20" s="8">
        <f t="shared" si="0"/>
        <v>2.8684210526315894</v>
      </c>
      <c r="J20" s="8">
        <f>IFERROR(VLOOKUP(B20,'[1]PDO Ana'!B$5:E$66,4,0),"")</f>
        <v>7.5</v>
      </c>
      <c r="K20" s="9">
        <f>IFERROR(VLOOKUP(B20,'[1]Venti Ana'!B$5:E54,2,0), "")</f>
        <v>35</v>
      </c>
      <c r="L20" s="8">
        <f>IFERROR(VLOOKUP(B20,'[1]Venti Ana'!B$5:F$36,3,0),"")</f>
        <v>35.404827586206892</v>
      </c>
      <c r="M20" s="8">
        <f>IFERROR(VLOOKUP(B20,'[1]Venti Ana'!B$5:G$36,4,0),"")</f>
        <v>2.1213793103448273</v>
      </c>
    </row>
  </sheetData>
  <conditionalFormatting sqref="E2:E20">
    <cfRule type="cellIs" dxfId="4" priority="5" operator="greaterThan">
      <formula>0.021</formula>
    </cfRule>
  </conditionalFormatting>
  <conditionalFormatting sqref="E1:F1">
    <cfRule type="cellIs" dxfId="3" priority="4" operator="greaterThan">
      <formula>0.021</formula>
    </cfRule>
  </conditionalFormatting>
  <conditionalFormatting sqref="F1:F20">
    <cfRule type="cellIs" dxfId="2" priority="1" operator="greaterThan">
      <formula>0.08</formula>
    </cfRule>
  </conditionalFormatting>
  <conditionalFormatting sqref="I1:J20">
    <cfRule type="cellIs" dxfId="1" priority="2" operator="greaterThan">
      <formula>10</formula>
    </cfRule>
  </conditionalFormatting>
  <conditionalFormatting sqref="M1:M20">
    <cfRule type="cellIs" dxfId="0" priority="3" operator="greaterThan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Internship</dc:creator>
  <cp:lastModifiedBy>Internship</cp:lastModifiedBy>
  <dcterms:created xsi:type="dcterms:W3CDTF">2026-04-07T10:23:07Z</dcterms:created>
  <dcterms:modified xsi:type="dcterms:W3CDTF">2026-04-07T10:23:47Z</dcterms:modified>
</cp:coreProperties>
</file>